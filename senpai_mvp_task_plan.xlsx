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9af86a33e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Plan" sheetId="1" r:id="R8acbe95ea7ba4c21"/>
    <x:sheet xmlns:r="http://schemas.openxmlformats.org/officeDocument/2006/relationships" name="Dashboard" sheetId="2" r:id="R6e4a8445d0ec4567"/>
    <x:sheet xmlns:r="http://schemas.openxmlformats.org/officeDocument/2006/relationships" name="Content Backlog" sheetId="3" r:id="R6c86ddaaf1af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%"/>
  </x:numFmts>
  <x:fonts count="7">
    <x:font>
      <x:sz val="11"/>
      <x:name val="Carlito"/>
    </x:font>
    <x:font>
      <x:b/>
      <x:sz val="18"/>
      <x:color rgb="1E293B"/>
      <x:name val="Carlito"/>
    </x:font>
    <x:font>
      <x:sz val="11"/>
      <x:color rgb="64748B"/>
      <x:name val="Carlito"/>
    </x:font>
    <x:font>
      <x:b/>
      <x:sz val="11"/>
      <x:color rgb="FFFFFF"/>
      <x:name val="Carlito"/>
    </x:font>
    <x:font>
      <x:sz val="10"/>
      <x:color rgb="1E293B"/>
      <x:name val="Carlito"/>
    </x:font>
    <x:font>
      <x:b/>
      <x:sz val="11"/>
      <x:color rgb="475569"/>
      <x:name val="Carlito"/>
    </x:font>
    <x:font>
      <x:b/>
      <x:sz val="13"/>
      <x:color rgb="1E293B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borderId="0" xfId="0" applyNumberFormat="1" applyFont="1" applyFill="0" applyBorder="1"/>
    <x:xf numFmtId="0" fontId="5" borderId="1" xfId="0" applyNumberFormat="1" applyFont="1" applyFill="0" applyBorder="1"/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6" fillId="0" borderId="1" xfId="0" applyNumberFormat="1" applyFont="1" applyFill="1" applyBorder="1"/>
    <x:xf numFmtId="201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0de0b2cc24e62" /><Relationship Type="http://schemas.openxmlformats.org/officeDocument/2006/relationships/theme" Target="/xl/theme/theme1.xml" Id="R513e8fb70e014e59" /><Relationship Type="http://schemas.openxmlformats.org/officeDocument/2006/relationships/sharedStrings" Target="/xl/sharedStrings.xml" Id="Rec834ae815a74f6c" /><Relationship Type="http://schemas.openxmlformats.org/officeDocument/2006/relationships/worksheet" Target="/xl/worksheets/sheet1.xml" Id="R8acbe95ea7ba4c21" /><Relationship Type="http://schemas.openxmlformats.org/officeDocument/2006/relationships/worksheet" Target="/xl/worksheets/sheet2.xml" Id="R6e4a8445d0ec4567" /><Relationship Type="http://schemas.openxmlformats.org/officeDocument/2006/relationships/worksheet" Target="/xl/worksheets/sheet3.xml" Id="R6c86ddaaf1af4e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18" hidden="0" customWidth="1"/>
    <x:col min="4" max="4" width="22" hidden="0" customWidth="1"/>
    <x:col min="5" max="5" width="32" hidden="0" customWidth="1"/>
    <x:col min="6" max="6" width="44" hidden="0" customWidth="1"/>
    <x:col min="7" max="7" width="10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9" hidden="0" customWidth="1"/>
    <x:col min="13" max="13" width="11" hidden="0" customWidth="1"/>
    <x:col min="14" max="14" width="16" hidden="0" customWidth="1"/>
    <x:col min="15" max="15" width="22" hidden="0" customWidth="1"/>
    <x:col min="16" max="16" width="28" hidden="0" customWidth="1"/>
  </x:cols>
  <x:sheetData>
    <x:row r="1">
      <x:c r="A1" s="3" t="str">
        <x:v>Senpai MVP — Task Plan Coding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>
      <x:c r="A2" s="6" t="str">
        <x:v>File quản lý đầu task coding cho MVP static web: Landing → Lesson → Progress → Quiz → Flashcard → Polish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</x:row>
    <x:row r="4" ht="32" customHeight="1">
      <x:c r="A4" s="8" t="str">
        <x:v>ID</x:v>
      </x:c>
      <x:c r="B4" s="8" t="str">
        <x:v>Sprint</x:v>
      </x:c>
      <x:c r="C4" s="8" t="str">
        <x:v>Nhóm function</x:v>
      </x:c>
      <x:c r="D4" s="8" t="str">
        <x:v>Module/Trang</x:v>
      </x:c>
      <x:c r="E4" s="8" t="str">
        <x:v>Đầu task coding</x:v>
      </x:c>
      <x:c r="F4" s="8" t="str">
        <x:v>Mô tả chi tiết</x:v>
      </x:c>
      <x:c r="G4" s="8" t="str">
        <x:v>Priority</x:v>
      </x:c>
      <x:c r="H4" s="8" t="str">
        <x:v>Owner</x:v>
      </x:c>
      <x:c r="I4" s="8" t="str">
        <x:v>Status</x:v>
      </x:c>
      <x:c r="J4" s="8" t="str">
        <x:v>Start Date</x:v>
      </x:c>
      <x:c r="K4" s="8" t="str">
        <x:v>Due Date</x:v>
      </x:c>
      <x:c r="L4" s="8" t="str">
        <x:v>Est. Days</x:v>
      </x:c>
      <x:c r="M4" s="8" t="str">
        <x:v>Progress %</x:v>
      </x:c>
      <x:c r="N4" s="8" t="str">
        <x:v>Dependency</x:v>
      </x:c>
      <x:c r="O4" s="8" t="str">
        <x:v>Deliverable</x:v>
      </x:c>
      <x:c r="P4" s="8" t="str">
        <x:v>Notes</x:v>
      </x:c>
    </x:row>
    <x:row r="5" ht="45" customHeight="1">
      <x:c r="A5" s="10" t="str">
        <x:v>T001</x:v>
      </x:c>
      <x:c r="B5" s="10" t="str">
        <x:v>Sprint 1</x:v>
      </x:c>
      <x:c r="C5" s="10" t="str">
        <x:v>Setup</x:v>
      </x:c>
      <x:c r="D5" s="10" t="str">
        <x:v>Project Structure</x:v>
      </x:c>
      <x:c r="E5" s="10" t="str">
        <x:v>Tạo folder structure Senpai</x:v>
      </x:c>
      <x:c r="F5" s="10" t="str">
        <x:v>Tạo đầy đủ folder japanese, stage, assets, docs theo cấu trúc dự án.</x:v>
      </x:c>
      <x:c r="G5" s="10" t="str">
        <x:v>High</x:v>
      </x:c>
      <x:c r="H5" s="10" t="str">
        <x:v>FE Dev</x:v>
      </x:c>
      <x:c r="I5" s="10" t="str">
        <x:v>Not Started</x:v>
      </x:c>
      <x:c r="J5" s="12" t="n">
        <x:v>46146</x:v>
      </x:c>
      <x:c r="K5" s="12" t="n">
        <x:v>46146</x:v>
      </x:c>
      <x:c r="L5" s="14" t="n">
        <x:v>0.5</x:v>
      </x:c>
      <x:c r="M5" s="16" t="n">
        <x:f>IF(I5="Done",1,IF(I5="Review",0.8,IF(I5="In Progress",0.5,0)))</x:f>
        <x:v>0</x:v>
      </x:c>
      <x:c r="N5" s="10" t="str"/>
      <x:c r="O5" s="10" t="str">
        <x:v>Folder project</x:v>
      </x:c>
      <x:c r="P5" s="10" t="str"/>
    </x:row>
    <x:row r="6" ht="45" customHeight="1">
      <x:c r="A6" s="10" t="str">
        <x:v>T002</x:v>
      </x:c>
      <x:c r="B6" s="10" t="str">
        <x:v>Sprint 1</x:v>
      </x:c>
      <x:c r="C6" s="10" t="str">
        <x:v>Setup</x:v>
      </x:c>
      <x:c r="D6" s="10" t="str">
        <x:v>Project Structure</x:v>
      </x:c>
      <x:c r="E6" s="10" t="str">
        <x:v>Tạo file CSS/JS rỗng ban đầu</x:v>
      </x:c>
      <x:c r="F6" s="10" t="str">
        <x:v>Tạo main.css, components.css, lesson.css, progress.js, quiz.js, flashcard.js, theme.js.</x:v>
      </x:c>
      <x:c r="G6" s="10" t="str">
        <x:v>High</x:v>
      </x:c>
      <x:c r="H6" s="10" t="str">
        <x:v>FE Dev</x:v>
      </x:c>
      <x:c r="I6" s="10" t="str">
        <x:v>Not Started</x:v>
      </x:c>
      <x:c r="J6" s="12" t="n">
        <x:v>46147</x:v>
      </x:c>
      <x:c r="K6" s="12" t="n">
        <x:v>46147</x:v>
      </x:c>
      <x:c r="L6" s="14" t="n">
        <x:v>0.5</x:v>
      </x:c>
      <x:c r="M6" s="16" t="n">
        <x:f>IF(I6="Done",1,IF(I6="Review",0.8,IF(I6="In Progress",0.5,0)))</x:f>
        <x:v>0</x:v>
      </x:c>
      <x:c r="N6" s="10" t="str">
        <x:v>T001</x:v>
      </x:c>
      <x:c r="O6" s="10" t="str">
        <x:v>Skeleton assets</x:v>
      </x:c>
      <x:c r="P6" s="10" t="str"/>
    </x:row>
    <x:row r="7" ht="45" customHeight="1">
      <x:c r="A7" s="10" t="str">
        <x:v>T003</x:v>
      </x:c>
      <x:c r="B7" s="10" t="str">
        <x:v>Sprint 1</x:v>
      </x:c>
      <x:c r="C7" s="10" t="str">
        <x:v>Landing</x:v>
      </x:c>
      <x:c r="D7" s="10" t="str">
        <x:v>index.html</x:v>
      </x:c>
      <x:c r="E7" s="10" t="str">
        <x:v>Tạo layout landing page</x:v>
      </x:c>
      <x:c r="F7" s="10" t="str">
        <x:v>Hero, đối tượng học, lời hứa giá trị, CTA bắt đầu học.</x:v>
      </x:c>
      <x:c r="G7" s="10" t="str">
        <x:v>High</x:v>
      </x:c>
      <x:c r="H7" s="10" t="str">
        <x:v>FE Dev</x:v>
      </x:c>
      <x:c r="I7" s="10" t="str">
        <x:v>Not Started</x:v>
      </x:c>
      <x:c r="J7" s="12" t="n">
        <x:v>46148</x:v>
      </x:c>
      <x:c r="K7" s="12" t="n">
        <x:v>46148</x:v>
      </x:c>
      <x:c r="L7" s="14" t="n">
        <x:v>1</x:v>
      </x:c>
      <x:c r="M7" s="16" t="n">
        <x:f>IF(I7="Done",1,IF(I7="Review",0.8,IF(I7="In Progress",0.5,0)))</x:f>
        <x:v>0</x:v>
      </x:c>
      <x:c r="N7" s="10" t="str">
        <x:v>T001</x:v>
      </x:c>
      <x:c r="O7" s="10" t="str">
        <x:v>Landing page</x:v>
      </x:c>
      <x:c r="P7" s="10" t="str"/>
    </x:row>
    <x:row r="8" ht="45" customHeight="1">
      <x:c r="A8" s="10" t="str">
        <x:v>T004</x:v>
      </x:c>
      <x:c r="B8" s="10" t="str">
        <x:v>Sprint 1</x:v>
      </x:c>
      <x:c r="C8" s="10" t="str">
        <x:v>Landing</x:v>
      </x:c>
      <x:c r="D8" s="10" t="str">
        <x:v>index.html</x:v>
      </x:c>
      <x:c r="E8" s="10" t="str">
        <x:v>Viết nội dung landing page</x:v>
      </x:c>
      <x:c r="F8" s="10" t="str">
        <x:v>Nội dung ngắn gọn cho Senpai: tiếng Nhật công sở thực chiến cho IT Nhật.</x:v>
      </x:c>
      <x:c r="G8" s="10" t="str">
        <x:v>High</x:v>
      </x:c>
      <x:c r="H8" s="10" t="str">
        <x:v>Content</x:v>
      </x:c>
      <x:c r="I8" s="10" t="str">
        <x:v>Not Started</x:v>
      </x:c>
      <x:c r="J8" s="12" t="n">
        <x:v>46149</x:v>
      </x:c>
      <x:c r="K8" s="12" t="n">
        <x:v>46149</x:v>
      </x:c>
      <x:c r="L8" s="14" t="n">
        <x:v>0.5</x:v>
      </x:c>
      <x:c r="M8" s="16" t="n">
        <x:f>IF(I8="Done",1,IF(I8="Review",0.8,IF(I8="In Progress",0.5,0)))</x:f>
        <x:v>0</x:v>
      </x:c>
      <x:c r="N8" s="10" t="str">
        <x:v>T003</x:v>
      </x:c>
      <x:c r="O8" s="10" t="str">
        <x:v>Landing copy</x:v>
      </x:c>
      <x:c r="P8" s="10" t="str"/>
    </x:row>
    <x:row r="9" ht="45" customHeight="1">
      <x:c r="A9" s="10" t="str">
        <x:v>T005</x:v>
      </x:c>
      <x:c r="B9" s="10" t="str">
        <x:v>Sprint 1</x:v>
      </x:c>
      <x:c r="C9" s="10" t="str">
        <x:v>UI Component</x:v>
      </x:c>
      <x:c r="D9" s="10" t="str">
        <x:v>Header/Footer</x:v>
      </x:c>
      <x:c r="E9" s="10" t="str">
        <x:v>Tạo global header và footer</x:v>
      </x:c>
      <x:c r="F9" s="10" t="str">
        <x:v>Header có logo, menu, CTA; footer có thông tin dự án.</x:v>
      </x:c>
      <x:c r="G9" s="10" t="str">
        <x:v>Medium</x:v>
      </x:c>
      <x:c r="H9" s="10" t="str">
        <x:v>FE Dev</x:v>
      </x:c>
      <x:c r="I9" s="10" t="str">
        <x:v>Not Started</x:v>
      </x:c>
      <x:c r="J9" s="12" t="n">
        <x:v>46150</x:v>
      </x:c>
      <x:c r="K9" s="12" t="n">
        <x:v>46150</x:v>
      </x:c>
      <x:c r="L9" s="14" t="n">
        <x:v>0.5</x:v>
      </x:c>
      <x:c r="M9" s="16" t="n">
        <x:f>IF(I9="Done",1,IF(I9="Review",0.8,IF(I9="In Progress",0.5,0)))</x:f>
        <x:v>0</x:v>
      </x:c>
      <x:c r="N9" s="10" t="str">
        <x:v>T003</x:v>
      </x:c>
      <x:c r="O9" s="10" t="str">
        <x:v>Header/footer</x:v>
      </x:c>
      <x:c r="P9" s="10" t="str"/>
    </x:row>
    <x:row r="10" ht="45" customHeight="1">
      <x:c r="A10" s="10" t="str">
        <x:v>T006</x:v>
      </x:c>
      <x:c r="B10" s="10" t="str">
        <x:v>Sprint 1</x:v>
      </x:c>
      <x:c r="C10" s="10" t="str">
        <x:v>Japanese Hub</x:v>
      </x:c>
      <x:c r="D10" s="10" t="str">
        <x:v>japanese/index.html</x:v>
      </x:c>
      <x:c r="E10" s="10" t="str">
        <x:v>Tạo Japanese Hub</x:v>
      </x:c>
      <x:c r="F10" s="10" t="str">
        <x:v>Trang chọn giai đoạn học Stage 1-4.</x:v>
      </x:c>
      <x:c r="G10" s="10" t="str">
        <x:v>High</x:v>
      </x:c>
      <x:c r="H10" s="10" t="str">
        <x:v>FE Dev</x:v>
      </x:c>
      <x:c r="I10" s="10" t="str">
        <x:v>Not Started</x:v>
      </x:c>
      <x:c r="J10" s="12" t="n">
        <x:v>46151</x:v>
      </x:c>
      <x:c r="K10" s="12" t="n">
        <x:v>46151</x:v>
      </x:c>
      <x:c r="L10" s="14" t="n">
        <x:v>1</x:v>
      </x:c>
      <x:c r="M10" s="16" t="n">
        <x:f>IF(I10="Done",1,IF(I10="Review",0.8,IF(I10="In Progress",0.5,0)))</x:f>
        <x:v>0</x:v>
      </x:c>
      <x:c r="N10" s="10" t="str">
        <x:v>T001</x:v>
      </x:c>
      <x:c r="O10" s="10" t="str">
        <x:v>Hub page</x:v>
      </x:c>
      <x:c r="P10" s="10" t="str"/>
    </x:row>
    <x:row r="11" ht="45" customHeight="1">
      <x:c r="A11" s="10" t="str">
        <x:v>T007</x:v>
      </x:c>
      <x:c r="B11" s="10" t="str">
        <x:v>Sprint 1</x:v>
      </x:c>
      <x:c r="C11" s="10" t="str">
        <x:v>Japanese Hub</x:v>
      </x:c>
      <x:c r="D11" s="10" t="str">
        <x:v>Stage Cards</x:v>
      </x:c>
      <x:c r="E11" s="10" t="str">
        <x:v>Tạo card cho 4 stage</x:v>
      </x:c>
      <x:c r="F11" s="10" t="str">
        <x:v>Mỗi card có tên stage, mô tả, số module, progress placeholder.</x:v>
      </x:c>
      <x:c r="G11" s="10" t="str">
        <x:v>High</x:v>
      </x:c>
      <x:c r="H11" s="10" t="str">
        <x:v>FE Dev</x:v>
      </x:c>
      <x:c r="I11" s="10" t="str">
        <x:v>Not Started</x:v>
      </x:c>
      <x:c r="J11" s="12" t="n">
        <x:v>46152</x:v>
      </x:c>
      <x:c r="K11" s="12" t="n">
        <x:v>46152</x:v>
      </x:c>
      <x:c r="L11" s="14" t="n">
        <x:v>1</x:v>
      </x:c>
      <x:c r="M11" s="16" t="n">
        <x:f>IF(I11="Done",1,IF(I11="Review",0.8,IF(I11="In Progress",0.5,0)))</x:f>
        <x:v>0</x:v>
      </x:c>
      <x:c r="N11" s="10" t="str">
        <x:v>T006</x:v>
      </x:c>
      <x:c r="O11" s="10" t="str">
        <x:v>Stage cards</x:v>
      </x:c>
      <x:c r="P11" s="10" t="str"/>
    </x:row>
    <x:row r="12" ht="45" customHeight="1">
      <x:c r="A12" s="10" t="str">
        <x:v>T008</x:v>
      </x:c>
      <x:c r="B12" s="10" t="str">
        <x:v>Sprint 1</x:v>
      </x:c>
      <x:c r="C12" s="10" t="str">
        <x:v>Stage Page</x:v>
      </x:c>
      <x:c r="D12" s="10" t="str">
        <x:v>stage index</x:v>
      </x:c>
      <x:c r="E12" s="10" t="str">
        <x:v>Tạo 4 trang stage index</x:v>
      </x:c>
      <x:c r="F12" s="10" t="str">
        <x:v>Tạo stage1/index.html đến stage4/index.html.</x:v>
      </x:c>
      <x:c r="G12" s="10" t="str">
        <x:v>High</x:v>
      </x:c>
      <x:c r="H12" s="10" t="str">
        <x:v>FE Dev</x:v>
      </x:c>
      <x:c r="I12" s="10" t="str">
        <x:v>Not Started</x:v>
      </x:c>
      <x:c r="J12" s="12" t="n">
        <x:v>46153</x:v>
      </x:c>
      <x:c r="K12" s="12" t="n">
        <x:v>46153</x:v>
      </x:c>
      <x:c r="L12" s="14" t="n">
        <x:v>1</x:v>
      </x:c>
      <x:c r="M12" s="16" t="n">
        <x:f>IF(I12="Done",1,IF(I12="Review",0.8,IF(I12="In Progress",0.5,0)))</x:f>
        <x:v>0</x:v>
      </x:c>
      <x:c r="N12" s="10" t="str">
        <x:v>T001</x:v>
      </x:c>
      <x:c r="O12" s="10" t="str">
        <x:v>Stage pages</x:v>
      </x:c>
      <x:c r="P12" s="10" t="str"/>
    </x:row>
    <x:row r="13" ht="45" customHeight="1">
      <x:c r="A13" s="10" t="str">
        <x:v>T009</x:v>
      </x:c>
      <x:c r="B13" s="10" t="str">
        <x:v>Sprint 1</x:v>
      </x:c>
      <x:c r="C13" s="10" t="str">
        <x:v>Stage 2</x:v>
      </x:c>
      <x:c r="D13" s="10" t="str">
        <x:v>stage2/index.html</x:v>
      </x:c>
      <x:c r="E13" s="10" t="str">
        <x:v>Tạo module list Stage 2</x:v>
      </x:c>
      <x:c r="F13" s="10" t="str">
        <x:v>Hiển thị Email, Meeting, Reporting, Keigo, Grammar, Reception.</x:v>
      </x:c>
      <x:c r="G13" s="10" t="str">
        <x:v>High</x:v>
      </x:c>
      <x:c r="H13" s="10" t="str">
        <x:v>FE Dev</x:v>
      </x:c>
      <x:c r="I13" s="10" t="str">
        <x:v>Not Started</x:v>
      </x:c>
      <x:c r="J13" s="12" t="n">
        <x:v>46154</x:v>
      </x:c>
      <x:c r="K13" s="12" t="n">
        <x:v>46154</x:v>
      </x:c>
      <x:c r="L13" s="14" t="n">
        <x:v>1</x:v>
      </x:c>
      <x:c r="M13" s="16" t="n">
        <x:f>IF(I13="Done",1,IF(I13="Review",0.8,IF(I13="In Progress",0.5,0)))</x:f>
        <x:v>0</x:v>
      </x:c>
      <x:c r="N13" s="10" t="str">
        <x:v>T008</x:v>
      </x:c>
      <x:c r="O13" s="10" t="str">
        <x:v>Stage2 module list</x:v>
      </x:c>
      <x:c r="P13" s="10" t="str"/>
    </x:row>
    <x:row r="14" ht="45" customHeight="1">
      <x:c r="A14" s="10" t="str">
        <x:v>T010</x:v>
      </x:c>
      <x:c r="B14" s="10" t="str">
        <x:v>Sprint 1</x:v>
      </x:c>
      <x:c r="C14" s="10" t="str">
        <x:v>Deploy</x:v>
      </x:c>
      <x:c r="D14" s="10" t="str">
        <x:v>GitHub Pages</x:v>
      </x:c>
      <x:c r="E14" s="10" t="str">
        <x:v>Deploy GitHub Pages lần 1</x:v>
      </x:c>
      <x:c r="F14" s="10" t="str">
        <x:v>Đưa bản khung website lên GitHub Pages để xem demo.</x:v>
      </x:c>
      <x:c r="G14" s="10" t="str">
        <x:v>High</x:v>
      </x:c>
      <x:c r="H14" s="10" t="str">
        <x:v>FE Dev</x:v>
      </x:c>
      <x:c r="I14" s="10" t="str">
        <x:v>Not Started</x:v>
      </x:c>
      <x:c r="J14" s="12" t="n">
        <x:v>46155</x:v>
      </x:c>
      <x:c r="K14" s="12" t="n">
        <x:v>46155</x:v>
      </x:c>
      <x:c r="L14" s="14" t="n">
        <x:v>0.5</x:v>
      </x:c>
      <x:c r="M14" s="16" t="n">
        <x:f>IF(I14="Done",1,IF(I14="Review",0.8,IF(I14="In Progress",0.5,0)))</x:f>
        <x:v>0</x:v>
      </x:c>
      <x:c r="N14" s="10" t="str">
        <x:v>T003,T006,T008</x:v>
      </x:c>
      <x:c r="O14" s="10" t="str">
        <x:v>Demo URL</x:v>
      </x:c>
      <x:c r="P14" s="10" t="str"/>
    </x:row>
    <x:row r="15" ht="45" customHeight="1">
      <x:c r="A15" s="10" t="str">
        <x:v>T011</x:v>
      </x:c>
      <x:c r="B15" s="10" t="str">
        <x:v>Sprint 2</x:v>
      </x:c>
      <x:c r="C15" s="10" t="str">
        <x:v>Lesson Template</x:v>
      </x:c>
      <x:c r="D15" s="10" t="str">
        <x:v>docs/lesson-template.md</x:v>
      </x:c>
      <x:c r="E15" s="10" t="str">
        <x:v>Tạo lesson template chuẩn</x:v>
      </x:c>
      <x:c r="F15" s="10" t="str">
        <x:v>Định nghĩa cấu trúc Hero, Video, Notes, Vocab, Pattern, Example, Practice, Quiz, Nav.</x:v>
      </x:c>
      <x:c r="G15" s="10" t="str">
        <x:v>High</x:v>
      </x:c>
      <x:c r="H15" s="10" t="str">
        <x:v>PM</x:v>
      </x:c>
      <x:c r="I15" s="10" t="str">
        <x:v>Not Started</x:v>
      </x:c>
      <x:c r="J15" s="12" t="n">
        <x:v>46156</x:v>
      </x:c>
      <x:c r="K15" s="12" t="n">
        <x:v>46156</x:v>
      </x:c>
      <x:c r="L15" s="14" t="n">
        <x:v>0.5</x:v>
      </x:c>
      <x:c r="M15" s="16" t="n">
        <x:f>IF(I15="Done",1,IF(I15="Review",0.8,IF(I15="In Progress",0.5,0)))</x:f>
        <x:v>0</x:v>
      </x:c>
      <x:c r="N15" s="10" t="str"/>
      <x:c r="O15" s="10" t="str">
        <x:v>Lesson template</x:v>
      </x:c>
      <x:c r="P15" s="10" t="str"/>
    </x:row>
    <x:row r="16" ht="45" customHeight="1">
      <x:c r="A16" s="10" t="str">
        <x:v>T012</x:v>
      </x:c>
      <x:c r="B16" s="10" t="str">
        <x:v>Sprint 2</x:v>
      </x:c>
      <x:c r="C16" s="10" t="str">
        <x:v>Lesson UI</x:v>
      </x:c>
      <x:c r="D16" s="10" t="str">
        <x:v>lesson.css</x:v>
      </x:c>
      <x:c r="E16" s="10" t="str">
        <x:v>Style lesson container</x:v>
      </x:c>
      <x:c r="F16" s="10" t="str">
        <x:v>CSS cho bài học, spacing, typography, Japanese block, Vietnamese note.</x:v>
      </x:c>
      <x:c r="G16" s="10" t="str">
        <x:v>High</x:v>
      </x:c>
      <x:c r="H16" s="10" t="str">
        <x:v>FE Dev</x:v>
      </x:c>
      <x:c r="I16" s="10" t="str">
        <x:v>Not Started</x:v>
      </x:c>
      <x:c r="J16" s="12" t="n">
        <x:v>46157</x:v>
      </x:c>
      <x:c r="K16" s="12" t="n">
        <x:v>46157</x:v>
      </x:c>
      <x:c r="L16" s="14" t="n">
        <x:v>1</x:v>
      </x:c>
      <x:c r="M16" s="16" t="n">
        <x:f>IF(I16="Done",1,IF(I16="Review",0.8,IF(I16="In Progress",0.5,0)))</x:f>
        <x:v>0</x:v>
      </x:c>
      <x:c r="N16" s="10" t="str">
        <x:v>T011</x:v>
      </x:c>
      <x:c r="O16" s="10" t="str">
        <x:v>Lesson style</x:v>
      </x:c>
      <x:c r="P16" s="10" t="str"/>
    </x:row>
    <x:row r="17" ht="45" customHeight="1">
      <x:c r="A17" s="10" t="str">
        <x:v>T013</x:v>
      </x:c>
      <x:c r="B17" s="10" t="str">
        <x:v>Sprint 2</x:v>
      </x:c>
      <x:c r="C17" s="10" t="str">
        <x:v>Video</x:v>
      </x:c>
      <x:c r="D17" s="10" t="str">
        <x:v>Lesson Video Block</x:v>
      </x:c>
      <x:c r="E17" s="10" t="str">
        <x:v>Tạo video placeholder</x:v>
      </x:c>
      <x:c r="F17" s="10" t="str">
        <x:v>Khi chưa có video thì hiển thị thumbnail giả + text thông báo.</x:v>
      </x:c>
      <x:c r="G17" s="10" t="str">
        <x:v>High</x:v>
      </x:c>
      <x:c r="H17" s="10" t="str">
        <x:v>FE Dev</x:v>
      </x:c>
      <x:c r="I17" s="10" t="str">
        <x:v>Not Started</x:v>
      </x:c>
      <x:c r="J17" s="12" t="n">
        <x:v>46158</x:v>
      </x:c>
      <x:c r="K17" s="12" t="n">
        <x:v>46158</x:v>
      </x:c>
      <x:c r="L17" s="14" t="n">
        <x:v>0.5</x:v>
      </x:c>
      <x:c r="M17" s="16" t="n">
        <x:f>IF(I17="Done",1,IF(I17="Review",0.8,IF(I17="In Progress",0.5,0)))</x:f>
        <x:v>0</x:v>
      </x:c>
      <x:c r="N17" s="10" t="str">
        <x:v>T012</x:v>
      </x:c>
      <x:c r="O17" s="10" t="str">
        <x:v>Video placeholder</x:v>
      </x:c>
      <x:c r="P17" s="10" t="str"/>
    </x:row>
    <x:row r="18" ht="45" customHeight="1">
      <x:c r="A18" s="10" t="str">
        <x:v>T014</x:v>
      </x:c>
      <x:c r="B18" s="10" t="str">
        <x:v>Sprint 2</x:v>
      </x:c>
      <x:c r="C18" s="10" t="str">
        <x:v>Vocab</x:v>
      </x:c>
      <x:c r="D18" s="10" t="str">
        <x:v>Vocab Block</x:v>
      </x:c>
      <x:c r="E18" s="10" t="str">
        <x:v>Tạo component từ vựng</x:v>
      </x:c>
      <x:c r="F18" s="10" t="str">
        <x:v>Hiển thị 3-5 từ: kanji/kana, nghĩa Việt, phiên âm, nút audio.</x:v>
      </x:c>
      <x:c r="G18" s="10" t="str">
        <x:v>High</x:v>
      </x:c>
      <x:c r="H18" s="10" t="str">
        <x:v>FE Dev</x:v>
      </x:c>
      <x:c r="I18" s="10" t="str">
        <x:v>Not Started</x:v>
      </x:c>
      <x:c r="J18" s="12" t="n">
        <x:v>46159</x:v>
      </x:c>
      <x:c r="K18" s="12" t="n">
        <x:v>46159</x:v>
      </x:c>
      <x:c r="L18" s="14" t="n">
        <x:v>1</x:v>
      </x:c>
      <x:c r="M18" s="16" t="n">
        <x:f>IF(I18="Done",1,IF(I18="Review",0.8,IF(I18="In Progress",0.5,0)))</x:f>
        <x:v>0</x:v>
      </x:c>
      <x:c r="N18" s="10" t="str">
        <x:v>T012</x:v>
      </x:c>
      <x:c r="O18" s="10" t="str">
        <x:v>Vocab component</x:v>
      </x:c>
      <x:c r="P18" s="10" t="str"/>
    </x:row>
    <x:row r="19" ht="45" customHeight="1">
      <x:c r="A19" s="10" t="str">
        <x:v>T015</x:v>
      </x:c>
      <x:c r="B19" s="10" t="str">
        <x:v>Sprint 2</x:v>
      </x:c>
      <x:c r="C19" s="10" t="str">
        <x:v>Pattern</x:v>
      </x:c>
      <x:c r="D19" s="10" t="str">
        <x:v>Pattern Block</x:v>
      </x:c>
      <x:c r="E19" s="10" t="str">
        <x:v>Tạo component mẫu câu</x:v>
      </x:c>
      <x:c r="F19" s="10" t="str">
        <x:v>Mẫu câu cốt lõi + 2-3 biến thể theo tình huống.</x:v>
      </x:c>
      <x:c r="G19" s="10" t="str">
        <x:v>High</x:v>
      </x:c>
      <x:c r="H19" s="10" t="str">
        <x:v>FE Dev</x:v>
      </x:c>
      <x:c r="I19" s="10" t="str">
        <x:v>Not Started</x:v>
      </x:c>
      <x:c r="J19" s="12" t="n">
        <x:v>46160</x:v>
      </x:c>
      <x:c r="K19" s="12" t="n">
        <x:v>46160</x:v>
      </x:c>
      <x:c r="L19" s="14" t="n">
        <x:v>1</x:v>
      </x:c>
      <x:c r="M19" s="16" t="n">
        <x:f>IF(I19="Done",1,IF(I19="Review",0.8,IF(I19="In Progress",0.5,0)))</x:f>
        <x:v>0</x:v>
      </x:c>
      <x:c r="N19" s="10" t="str">
        <x:v>T012</x:v>
      </x:c>
      <x:c r="O19" s="10" t="str">
        <x:v>Pattern component</x:v>
      </x:c>
      <x:c r="P19" s="10" t="str"/>
    </x:row>
    <x:row r="20" ht="45" customHeight="1">
      <x:c r="A20" s="10" t="str">
        <x:v>T016</x:v>
      </x:c>
      <x:c r="B20" s="10" t="str">
        <x:v>Sprint 2</x:v>
      </x:c>
      <x:c r="C20" s="10" t="str">
        <x:v>Example</x:v>
      </x:c>
      <x:c r="D20" s="10" t="str">
        <x:v>Example Block</x:v>
      </x:c>
      <x:c r="E20" s="10" t="str">
        <x:v>Tạo component ví dụ đầy đủ</x:v>
      </x:c>
      <x:c r="F20" s="10" t="str">
        <x:v>Email hoặc hội thoại mẫu có chú thích phần quan trọng.</x:v>
      </x:c>
      <x:c r="G20" s="10" t="str">
        <x:v>High</x:v>
      </x:c>
      <x:c r="H20" s="10" t="str">
        <x:v>FE Dev</x:v>
      </x:c>
      <x:c r="I20" s="10" t="str">
        <x:v>Not Started</x:v>
      </x:c>
      <x:c r="J20" s="12" t="n">
        <x:v>46161</x:v>
      </x:c>
      <x:c r="K20" s="12" t="n">
        <x:v>46161</x:v>
      </x:c>
      <x:c r="L20" s="14" t="n">
        <x:v>1</x:v>
      </x:c>
      <x:c r="M20" s="16" t="n">
        <x:f>IF(I20="Done",1,IF(I20="Review",0.8,IF(I20="In Progress",0.5,0)))</x:f>
        <x:v>0</x:v>
      </x:c>
      <x:c r="N20" s="10" t="str">
        <x:v>T012</x:v>
      </x:c>
      <x:c r="O20" s="10" t="str">
        <x:v>Example component</x:v>
      </x:c>
      <x:c r="P20" s="10" t="str"/>
    </x:row>
    <x:row r="21" ht="45" customHeight="1">
      <x:c r="A21" s="10" t="str">
        <x:v>T017</x:v>
      </x:c>
      <x:c r="B21" s="10" t="str">
        <x:v>Sprint 2</x:v>
      </x:c>
      <x:c r="C21" s="10" t="str">
        <x:v>Practice</x:v>
      </x:c>
      <x:c r="D21" s="10" t="str">
        <x:v>Practice Block</x:v>
      </x:c>
      <x:c r="E21" s="10" t="str">
        <x:v>Tạo khung bài luyện điền từ</x:v>
      </x:c>
      <x:c r="F21" s="10" t="str">
        <x:v>HTML input, nút kiểm tra, vùng feedback.</x:v>
      </x:c>
      <x:c r="G21" s="10" t="str">
        <x:v>Medium</x:v>
      </x:c>
      <x:c r="H21" s="10" t="str">
        <x:v>FE Dev</x:v>
      </x:c>
      <x:c r="I21" s="10" t="str">
        <x:v>Not Started</x:v>
      </x:c>
      <x:c r="J21" s="12" t="n">
        <x:v>46162</x:v>
      </x:c>
      <x:c r="K21" s="12" t="n">
        <x:v>46162</x:v>
      </x:c>
      <x:c r="L21" s="14" t="n">
        <x:v>0.75</x:v>
      </x:c>
      <x:c r="M21" s="16" t="n">
        <x:f>IF(I21="Done",1,IF(I21="Review",0.8,IF(I21="In Progress",0.5,0)))</x:f>
        <x:v>0</x:v>
      </x:c>
      <x:c r="N21" s="10" t="str">
        <x:v>T012</x:v>
      </x:c>
      <x:c r="O21" s="10" t="str">
        <x:v>Practice HTML</x:v>
      </x:c>
      <x:c r="P21" s="10" t="str"/>
    </x:row>
    <x:row r="22" ht="45" customHeight="1">
      <x:c r="A22" s="10" t="str">
        <x:v>T018</x:v>
      </x:c>
      <x:c r="B22" s="10" t="str">
        <x:v>Sprint 2</x:v>
      </x:c>
      <x:c r="C22" s="10" t="str">
        <x:v>Lesson Nav</x:v>
      </x:c>
      <x:c r="D22" s="10" t="str">
        <x:v>Lesson Navigation</x:v>
      </x:c>
      <x:c r="E22" s="10" t="str">
        <x:v>Tạo điều hướng bài học</x:v>
      </x:c>
      <x:c r="F22" s="10" t="str">
        <x:v>Nút bài trước, bài tiếp theo, quay lại module.</x:v>
      </x:c>
      <x:c r="G22" s="10" t="str">
        <x:v>Medium</x:v>
      </x:c>
      <x:c r="H22" s="10" t="str">
        <x:v>FE Dev</x:v>
      </x:c>
      <x:c r="I22" s="10" t="str">
        <x:v>Not Started</x:v>
      </x:c>
      <x:c r="J22" s="12" t="n">
        <x:v>46163</x:v>
      </x:c>
      <x:c r="K22" s="12" t="n">
        <x:v>46163</x:v>
      </x:c>
      <x:c r="L22" s="14" t="n">
        <x:v>0.5</x:v>
      </x:c>
      <x:c r="M22" s="16" t="n">
        <x:f>IF(I22="Done",1,IF(I22="Review",0.8,IF(I22="In Progress",0.5,0)))</x:f>
        <x:v>0</x:v>
      </x:c>
      <x:c r="N22" s="10" t="str">
        <x:v>T012</x:v>
      </x:c>
      <x:c r="O22" s="10" t="str">
        <x:v>Lesson nav</x:v>
      </x:c>
      <x:c r="P22" s="10" t="str"/>
    </x:row>
    <x:row r="23" ht="45" customHeight="1">
      <x:c r="A23" s="10" t="str">
        <x:v>T019</x:v>
      </x:c>
      <x:c r="B23" s="10" t="str">
        <x:v>Sprint 2</x:v>
      </x:c>
      <x:c r="C23" s="10" t="str">
        <x:v>Lesson 01</x:v>
      </x:c>
      <x:c r="D23" s="10" t="str">
        <x:v>stage2/email/lesson-01.html</x:v>
      </x:c>
      <x:c r="E23" s="10" t="str">
        <x:v>Tạo bài Email 01</x:v>
      </x:c>
      <x:c r="F23" s="10" t="str">
        <x:v>Chủ đề: Xin chào khi join dự án mới.</x:v>
      </x:c>
      <x:c r="G23" s="10" t="str">
        <x:v>High</x:v>
      </x:c>
      <x:c r="H23" s="10" t="str">
        <x:v>Content</x:v>
      </x:c>
      <x:c r="I23" s="10" t="str">
        <x:v>Not Started</x:v>
      </x:c>
      <x:c r="J23" s="12" t="n">
        <x:v>46164</x:v>
      </x:c>
      <x:c r="K23" s="12" t="n">
        <x:v>46165</x:v>
      </x:c>
      <x:c r="L23" s="14" t="n">
        <x:v>1.5</x:v>
      </x:c>
      <x:c r="M23" s="16" t="n">
        <x:f>IF(I23="Done",1,IF(I23="Review",0.8,IF(I23="In Progress",0.5,0)))</x:f>
        <x:v>0</x:v>
      </x:c>
      <x:c r="N23" s="10" t="str">
        <x:v>T011</x:v>
      </x:c>
      <x:c r="O23" s="10" t="str">
        <x:v>Lesson 01 content</x:v>
      </x:c>
      <x:c r="P23" s="10" t="str"/>
    </x:row>
    <x:row r="24" ht="45" customHeight="1">
      <x:c r="A24" s="10" t="str">
        <x:v>T020</x:v>
      </x:c>
      <x:c r="B24" s="10" t="str">
        <x:v>Sprint 2</x:v>
      </x:c>
      <x:c r="C24" s="10" t="str">
        <x:v>Lesson 01</x:v>
      </x:c>
      <x:c r="D24" s="10" t="str">
        <x:v>stage2/email/lesson-01.html</x:v>
      </x:c>
      <x:c r="E24" s="10" t="str">
        <x:v>Gắn nội dung vào template</x:v>
      </x:c>
      <x:c r="F24" s="10" t="str">
        <x:v>Đưa Hero, Vocab, Pattern, Example, Practice vào HTML.</x:v>
      </x:c>
      <x:c r="G24" s="10" t="str">
        <x:v>High</x:v>
      </x:c>
      <x:c r="H24" s="10" t="str">
        <x:v>FE Dev</x:v>
      </x:c>
      <x:c r="I24" s="10" t="str">
        <x:v>Not Started</x:v>
      </x:c>
      <x:c r="J24" s="12" t="n">
        <x:v>46166</x:v>
      </x:c>
      <x:c r="K24" s="12" t="n">
        <x:v>46166</x:v>
      </x:c>
      <x:c r="L24" s="14" t="n">
        <x:v>1</x:v>
      </x:c>
      <x:c r="M24" s="16" t="n">
        <x:f>IF(I24="Done",1,IF(I24="Review",0.8,IF(I24="In Progress",0.5,0)))</x:f>
        <x:v>0</x:v>
      </x:c>
      <x:c r="N24" s="10" t="str">
        <x:v>T019</x:v>
      </x:c>
      <x:c r="O24" s="10" t="str">
        <x:v>Lesson 01 page</x:v>
      </x:c>
      <x:c r="P24" s="10" t="str"/>
    </x:row>
    <x:row r="25" ht="45" customHeight="1">
      <x:c r="A25" s="10" t="str">
        <x:v>T021</x:v>
      </x:c>
      <x:c r="B25" s="10" t="str">
        <x:v>Sprint 2</x:v>
      </x:c>
      <x:c r="C25" s="10" t="str">
        <x:v>QA</x:v>
      </x:c>
      <x:c r="D25" s="10" t="str">
        <x:v>Lesson QA</x:v>
      </x:c>
      <x:c r="E25" s="10" t="str">
        <x:v>Kiểm tra lesson mẫu</x:v>
      </x:c>
      <x:c r="F25" s="10" t="str">
        <x:v>Kiểm tra hiển thị mobile, link, font Nhật-Việt, spacing.</x:v>
      </x:c>
      <x:c r="G25" s="10" t="str">
        <x:v>Medium</x:v>
      </x:c>
      <x:c r="H25" s="10" t="str">
        <x:v>QA</x:v>
      </x:c>
      <x:c r="I25" s="10" t="str">
        <x:v>Not Started</x:v>
      </x:c>
      <x:c r="J25" s="12" t="n">
        <x:v>46167</x:v>
      </x:c>
      <x:c r="K25" s="12" t="n">
        <x:v>46167</x:v>
      </x:c>
      <x:c r="L25" s="14" t="n">
        <x:v>0.5</x:v>
      </x:c>
      <x:c r="M25" s="16" t="n">
        <x:f>IF(I25="Done",1,IF(I25="Review",0.8,IF(I25="In Progress",0.5,0)))</x:f>
        <x:v>0</x:v>
      </x:c>
      <x:c r="N25" s="10" t="str">
        <x:v>T020</x:v>
      </x:c>
      <x:c r="O25" s="10" t="str">
        <x:v>QA note</x:v>
      </x:c>
      <x:c r="P25" s="10" t="str"/>
    </x:row>
    <x:row r="26" ht="45" customHeight="1">
      <x:c r="A26" s="10" t="str">
        <x:v>T022</x:v>
      </x:c>
      <x:c r="B26" s="10" t="str">
        <x:v>Sprint 3</x:v>
      </x:c>
      <x:c r="C26" s="10" t="str">
        <x:v>Progress</x:v>
      </x:c>
      <x:c r="D26" s="10" t="str">
        <x:v>progress.js</x:v>
      </x:c>
      <x:c r="E26" s="10" t="str">
        <x:v>Tạo hàm markLessonComplete</x:v>
      </x:c>
      <x:c r="F26" s="10" t="str">
        <x:v>Lưu lessonId vào LocalStorage khi học viên bấm hoàn thành.</x:v>
      </x:c>
      <x:c r="G26" s="10" t="str">
        <x:v>High</x:v>
      </x:c>
      <x:c r="H26" s="10" t="str">
        <x:v>FE Dev</x:v>
      </x:c>
      <x:c r="I26" s="10" t="str">
        <x:v>Not Started</x:v>
      </x:c>
      <x:c r="J26" s="12" t="n">
        <x:v>46168</x:v>
      </x:c>
      <x:c r="K26" s="12" t="n">
        <x:v>46168</x:v>
      </x:c>
      <x:c r="L26" s="14" t="n">
        <x:v>0.75</x:v>
      </x:c>
      <x:c r="M26" s="16" t="n">
        <x:f>IF(I26="Done",1,IF(I26="Review",0.8,IF(I26="In Progress",0.5,0)))</x:f>
        <x:v>0</x:v>
      </x:c>
      <x:c r="N26" s="10" t="str"/>
      <x:c r="O26" s="10" t="str">
        <x:v>markLessonComplete</x:v>
      </x:c>
      <x:c r="P26" s="10" t="str"/>
    </x:row>
    <x:row r="27" ht="45" customHeight="1">
      <x:c r="A27" s="10" t="str">
        <x:v>T023</x:v>
      </x:c>
      <x:c r="B27" s="10" t="str">
        <x:v>Sprint 3</x:v>
      </x:c>
      <x:c r="C27" s="10" t="str">
        <x:v>Progress</x:v>
      </x:c>
      <x:c r="D27" s="10" t="str">
        <x:v>progress.js</x:v>
      </x:c>
      <x:c r="E27" s="10" t="str">
        <x:v>Tạo hàm isLessonComplete</x:v>
      </x:c>
      <x:c r="F27" s="10" t="str">
        <x:v>Kiểm tra bài học đã hoàn thành chưa.</x:v>
      </x:c>
      <x:c r="G27" s="10" t="str">
        <x:v>High</x:v>
      </x:c>
      <x:c r="H27" s="10" t="str">
        <x:v>FE Dev</x:v>
      </x:c>
      <x:c r="I27" s="10" t="str">
        <x:v>Not Started</x:v>
      </x:c>
      <x:c r="J27" s="12" t="n">
        <x:v>46169</x:v>
      </x:c>
      <x:c r="K27" s="12" t="n">
        <x:v>46169</x:v>
      </x:c>
      <x:c r="L27" s="14" t="n">
        <x:v>0.5</x:v>
      </x:c>
      <x:c r="M27" s="16" t="n">
        <x:f>IF(I27="Done",1,IF(I27="Review",0.8,IF(I27="In Progress",0.5,0)))</x:f>
        <x:v>0</x:v>
      </x:c>
      <x:c r="N27" s="10" t="str">
        <x:v>T022</x:v>
      </x:c>
      <x:c r="O27" s="10" t="str">
        <x:v>isLessonComplete</x:v>
      </x:c>
      <x:c r="P27" s="10" t="str"/>
    </x:row>
    <x:row r="28" ht="45" customHeight="1">
      <x:c r="A28" s="10" t="str">
        <x:v>T024</x:v>
      </x:c>
      <x:c r="B28" s="10" t="str">
        <x:v>Sprint 3</x:v>
      </x:c>
      <x:c r="C28" s="10" t="str">
        <x:v>Progress</x:v>
      </x:c>
      <x:c r="D28" s="10" t="str">
        <x:v>progress.js</x:v>
      </x:c>
      <x:c r="E28" s="10" t="str">
        <x:v>Tạo hàm getCompletedLessons</x:v>
      </x:c>
      <x:c r="F28" s="10" t="str">
        <x:v>Đọc danh sách bài đã hoàn thành từ LocalStorage.</x:v>
      </x:c>
      <x:c r="G28" s="10" t="str">
        <x:v>High</x:v>
      </x:c>
      <x:c r="H28" s="10" t="str">
        <x:v>FE Dev</x:v>
      </x:c>
      <x:c r="I28" s="10" t="str">
        <x:v>Not Started</x:v>
      </x:c>
      <x:c r="J28" s="12" t="n">
        <x:v>46170</x:v>
      </x:c>
      <x:c r="K28" s="12" t="n">
        <x:v>46170</x:v>
      </x:c>
      <x:c r="L28" s="14" t="n">
        <x:v>0.5</x:v>
      </x:c>
      <x:c r="M28" s="16" t="n">
        <x:f>IF(I28="Done",1,IF(I28="Review",0.8,IF(I28="In Progress",0.5,0)))</x:f>
        <x:v>0</x:v>
      </x:c>
      <x:c r="N28" s="10" t="str">
        <x:v>T022</x:v>
      </x:c>
      <x:c r="O28" s="10" t="str">
        <x:v>getCompletedLessons</x:v>
      </x:c>
      <x:c r="P28" s="10" t="str"/>
    </x:row>
    <x:row r="29" ht="45" customHeight="1">
      <x:c r="A29" s="10" t="str">
        <x:v>T025</x:v>
      </x:c>
      <x:c r="B29" s="10" t="str">
        <x:v>Sprint 3</x:v>
      </x:c>
      <x:c r="C29" s="10" t="str">
        <x:v>Progress</x:v>
      </x:c>
      <x:c r="D29" s="10" t="str">
        <x:v>progress.js</x:v>
      </x:c>
      <x:c r="E29" s="10" t="str">
        <x:v>Tạo hàm calculateProgress</x:v>
      </x:c>
      <x:c r="F29" s="10" t="str">
        <x:v>Tính % hoàn thành dựa trên tổng lessonIds.</x:v>
      </x:c>
      <x:c r="G29" s="10" t="str">
        <x:v>High</x:v>
      </x:c>
      <x:c r="H29" s="10" t="str">
        <x:v>FE Dev</x:v>
      </x:c>
      <x:c r="I29" s="10" t="str">
        <x:v>Not Started</x:v>
      </x:c>
      <x:c r="J29" s="12" t="n">
        <x:v>46171</x:v>
      </x:c>
      <x:c r="K29" s="12" t="n">
        <x:v>46171</x:v>
      </x:c>
      <x:c r="L29" s="14" t="n">
        <x:v>0.75</x:v>
      </x:c>
      <x:c r="M29" s="16" t="n">
        <x:f>IF(I29="Done",1,IF(I29="Review",0.8,IF(I29="In Progress",0.5,0)))</x:f>
        <x:v>0</x:v>
      </x:c>
      <x:c r="N29" s="10" t="str">
        <x:v>T023,T024</x:v>
      </x:c>
      <x:c r="O29" s="10" t="str">
        <x:v>calculateProgress</x:v>
      </x:c>
      <x:c r="P29" s="10" t="str"/>
    </x:row>
    <x:row r="30" ht="45" customHeight="1">
      <x:c r="A30" s="10" t="str">
        <x:v>T026</x:v>
      </x:c>
      <x:c r="B30" s="10" t="str">
        <x:v>Sprint 3</x:v>
      </x:c>
      <x:c r="C30" s="10" t="str">
        <x:v>Progress UI</x:v>
      </x:c>
      <x:c r="D30" s="10" t="str">
        <x:v>Lesson Page</x:v>
      </x:c>
      <x:c r="E30" s="10" t="str">
        <x:v>Gắn nút Đánh dấu đã học</x:v>
      </x:c>
      <x:c r="F30" s="10" t="str">
        <x:v>Button đổi trạng thái sau khi click, tránh click lặp.</x:v>
      </x:c>
      <x:c r="G30" s="10" t="str">
        <x:v>High</x:v>
      </x:c>
      <x:c r="H30" s="10" t="str">
        <x:v>FE Dev</x:v>
      </x:c>
      <x:c r="I30" s="10" t="str">
        <x:v>Not Started</x:v>
      </x:c>
      <x:c r="J30" s="12" t="n">
        <x:v>46172</x:v>
      </x:c>
      <x:c r="K30" s="12" t="n">
        <x:v>46172</x:v>
      </x:c>
      <x:c r="L30" s="14" t="n">
        <x:v>0.75</x:v>
      </x:c>
      <x:c r="M30" s="16" t="n">
        <x:f>IF(I30="Done",1,IF(I30="Review",0.8,IF(I30="In Progress",0.5,0)))</x:f>
        <x:v>0</x:v>
      </x:c>
      <x:c r="N30" s="10" t="str">
        <x:v>T022,T020</x:v>
      </x:c>
      <x:c r="O30" s="10" t="str">
        <x:v>Complete button</x:v>
      </x:c>
      <x:c r="P30" s="10" t="str"/>
    </x:row>
    <x:row r="31" ht="45" customHeight="1">
      <x:c r="A31" s="10" t="str">
        <x:v>T027</x:v>
      </x:c>
      <x:c r="B31" s="10" t="str">
        <x:v>Sprint 3</x:v>
      </x:c>
      <x:c r="C31" s="10" t="str">
        <x:v>Progress UI</x:v>
      </x:c>
      <x:c r="D31" s="10" t="str">
        <x:v>Module Page</x:v>
      </x:c>
      <x:c r="E31" s="10" t="str">
        <x:v>Hiển thị progress module</x:v>
      </x:c>
      <x:c r="F31" s="10" t="str">
        <x:v>Ở trang module, tính số bài đã hoàn thành / tổng bài.</x:v>
      </x:c>
      <x:c r="G31" s="10" t="str">
        <x:v>High</x:v>
      </x:c>
      <x:c r="H31" s="10" t="str">
        <x:v>FE Dev</x:v>
      </x:c>
      <x:c r="I31" s="10" t="str">
        <x:v>Not Started</x:v>
      </x:c>
      <x:c r="J31" s="12" t="n">
        <x:v>46173</x:v>
      </x:c>
      <x:c r="K31" s="12" t="n">
        <x:v>46173</x:v>
      </x:c>
      <x:c r="L31" s="14" t="n">
        <x:v>1</x:v>
      </x:c>
      <x:c r="M31" s="16" t="n">
        <x:f>IF(I31="Done",1,IF(I31="Review",0.8,IF(I31="In Progress",0.5,0)))</x:f>
        <x:v>0</x:v>
      </x:c>
      <x:c r="N31" s="10" t="str">
        <x:v>T025</x:v>
      </x:c>
      <x:c r="O31" s="10" t="str">
        <x:v>Module progress</x:v>
      </x:c>
      <x:c r="P31" s="10" t="str"/>
    </x:row>
    <x:row r="32" ht="45" customHeight="1">
      <x:c r="A32" s="10" t="str">
        <x:v>T028</x:v>
      </x:c>
      <x:c r="B32" s="10" t="str">
        <x:v>Sprint 3</x:v>
      </x:c>
      <x:c r="C32" s="10" t="str">
        <x:v>Progress UI</x:v>
      </x:c>
      <x:c r="D32" s="10" t="str">
        <x:v>Stage Page</x:v>
      </x:c>
      <x:c r="E32" s="10" t="str">
        <x:v>Hiển thị progress stage</x:v>
      </x:c>
      <x:c r="F32" s="10" t="str">
        <x:v>Ở Japanese Hub/Stage card, hiển thị % học tập.</x:v>
      </x:c>
      <x:c r="G32" s="10" t="str">
        <x:v>Medium</x:v>
      </x:c>
      <x:c r="H32" s="10" t="str">
        <x:v>FE Dev</x:v>
      </x:c>
      <x:c r="I32" s="10" t="str">
        <x:v>Not Started</x:v>
      </x:c>
      <x:c r="J32" s="12" t="n">
        <x:v>46174</x:v>
      </x:c>
      <x:c r="K32" s="12" t="n">
        <x:v>46174</x:v>
      </x:c>
      <x:c r="L32" s="14" t="n">
        <x:v>1</x:v>
      </x:c>
      <x:c r="M32" s="16" t="n">
        <x:f>IF(I32="Done",1,IF(I32="Review",0.8,IF(I32="In Progress",0.5,0)))</x:f>
        <x:v>0</x:v>
      </x:c>
      <x:c r="N32" s="10" t="str">
        <x:v>T025,T027</x:v>
      </x:c>
      <x:c r="O32" s="10" t="str">
        <x:v>Stage progress</x:v>
      </x:c>
      <x:c r="P32" s="10" t="str"/>
    </x:row>
    <x:row r="33" ht="45" customHeight="1">
      <x:c r="A33" s="10" t="str">
        <x:v>T029</x:v>
      </x:c>
      <x:c r="B33" s="10" t="str">
        <x:v>Sprint 3</x:v>
      </x:c>
      <x:c r="C33" s="10" t="str">
        <x:v>Progress</x:v>
      </x:c>
      <x:c r="D33" s="10" t="str">
        <x:v>Reset Progress</x:v>
      </x:c>
      <x:c r="E33" s="10" t="str">
        <x:v>Tạo nút reset progress</x:v>
      </x:c>
      <x:c r="F33" s="10" t="str">
        <x:v>Cho phép xóa tiến độ local để test hoặc học lại.</x:v>
      </x:c>
      <x:c r="G33" s="10" t="str">
        <x:v>Low</x:v>
      </x:c>
      <x:c r="H33" s="10" t="str">
        <x:v>FE Dev</x:v>
      </x:c>
      <x:c r="I33" s="10" t="str">
        <x:v>Not Started</x:v>
      </x:c>
      <x:c r="J33" s="12" t="n">
        <x:v>46175</x:v>
      </x:c>
      <x:c r="K33" s="12" t="n">
        <x:v>46175</x:v>
      </x:c>
      <x:c r="L33" s="14" t="n">
        <x:v>0.5</x:v>
      </x:c>
      <x:c r="M33" s="16" t="n">
        <x:f>IF(I33="Done",1,IF(I33="Review",0.8,IF(I33="In Progress",0.5,0)))</x:f>
        <x:v>0</x:v>
      </x:c>
      <x:c r="N33" s="10" t="str">
        <x:v>T024</x:v>
      </x:c>
      <x:c r="O33" s="10" t="str">
        <x:v>Reset button</x:v>
      </x:c>
      <x:c r="P33" s="10" t="str"/>
    </x:row>
    <x:row r="34" ht="45" customHeight="1">
      <x:c r="A34" s="10" t="str">
        <x:v>T030</x:v>
      </x:c>
      <x:c r="B34" s="10" t="str">
        <x:v>Sprint 3</x:v>
      </x:c>
      <x:c r="C34" s="10" t="str">
        <x:v>Continue</x:v>
      </x:c>
      <x:c r="D34" s="10" t="str">
        <x:v>Continue Learning</x:v>
      </x:c>
      <x:c r="E34" s="10" t="str">
        <x:v>Gợi ý bài tiếp theo</x:v>
      </x:c>
      <x:c r="F34" s="10" t="str">
        <x:v>Tự tìm lesson đầu tiên chưa hoàn thành trong Stage 2.</x:v>
      </x:c>
      <x:c r="G34" s="10" t="str">
        <x:v>Medium</x:v>
      </x:c>
      <x:c r="H34" s="10" t="str">
        <x:v>FE Dev</x:v>
      </x:c>
      <x:c r="I34" s="10" t="str">
        <x:v>Not Started</x:v>
      </x:c>
      <x:c r="J34" s="12" t="n">
        <x:v>46176</x:v>
      </x:c>
      <x:c r="K34" s="12" t="n">
        <x:v>46176</x:v>
      </x:c>
      <x:c r="L34" s="14" t="n">
        <x:v>1</x:v>
      </x:c>
      <x:c r="M34" s="16" t="n">
        <x:f>IF(I34="Done",1,IF(I34="Review",0.8,IF(I34="In Progress",0.5,0)))</x:f>
        <x:v>0</x:v>
      </x:c>
      <x:c r="N34" s="10" t="str">
        <x:v>T024</x:v>
      </x:c>
      <x:c r="O34" s="10" t="str">
        <x:v>Continue CTA</x:v>
      </x:c>
      <x:c r="P34" s="10" t="str"/>
    </x:row>
    <x:row r="35" ht="45" customHeight="1">
      <x:c r="A35" s="10" t="str">
        <x:v>T031</x:v>
      </x:c>
      <x:c r="B35" s="10" t="str">
        <x:v>Sprint 3</x:v>
      </x:c>
      <x:c r="C35" s="10" t="str">
        <x:v>QA</x:v>
      </x:c>
      <x:c r="D35" s="10" t="str">
        <x:v>Progress QA</x:v>
      </x:c>
      <x:c r="E35" s="10" t="str">
        <x:v>Test LocalStorage</x:v>
      </x:c>
      <x:c r="F35" s="10" t="str">
        <x:v>Test refresh page, close/open browser, reset progress.</x:v>
      </x:c>
      <x:c r="G35" s="10" t="str">
        <x:v>Medium</x:v>
      </x:c>
      <x:c r="H35" s="10" t="str">
        <x:v>QA</x:v>
      </x:c>
      <x:c r="I35" s="10" t="str">
        <x:v>Not Started</x:v>
      </x:c>
      <x:c r="J35" s="12" t="n">
        <x:v>46177</x:v>
      </x:c>
      <x:c r="K35" s="12" t="n">
        <x:v>46177</x:v>
      </x:c>
      <x:c r="L35" s="14" t="n">
        <x:v>0.5</x:v>
      </x:c>
      <x:c r="M35" s="16" t="n">
        <x:f>IF(I35="Done",1,IF(I35="Review",0.8,IF(I35="In Progress",0.5,0)))</x:f>
        <x:v>0</x:v>
      </x:c>
      <x:c r="N35" s="10" t="str">
        <x:v>T026,T027,T028,T029,T030</x:v>
      </x:c>
      <x:c r="O35" s="10" t="str">
        <x:v>QA note</x:v>
      </x:c>
      <x:c r="P35" s="10" t="str"/>
    </x:row>
    <x:row r="36" ht="45" customHeight="1">
      <x:c r="A36" s="10" t="str">
        <x:v>T032</x:v>
      </x:c>
      <x:c r="B36" s="10" t="str">
        <x:v>Sprint 4</x:v>
      </x:c>
      <x:c r="C36" s="10" t="str">
        <x:v>Quiz</x:v>
      </x:c>
      <x:c r="D36" s="10" t="str">
        <x:v>quiz.js</x:v>
      </x:c>
      <x:c r="E36" s="10" t="str">
        <x:v>Tạo initQuiz</x:v>
      </x:c>
      <x:c r="F36" s="10" t="str">
        <x:v>Render câu hỏi trắc nghiệm từ data JS.</x:v>
      </x:c>
      <x:c r="G36" s="10" t="str">
        <x:v>High</x:v>
      </x:c>
      <x:c r="H36" s="10" t="str">
        <x:v>FE Dev</x:v>
      </x:c>
      <x:c r="I36" s="10" t="str">
        <x:v>Not Started</x:v>
      </x:c>
      <x:c r="J36" s="12" t="n">
        <x:v>46178</x:v>
      </x:c>
      <x:c r="K36" s="12" t="n">
        <x:v>46178</x:v>
      </x:c>
      <x:c r="L36" s="14" t="n">
        <x:v>1</x:v>
      </x:c>
      <x:c r="M36" s="16" t="n">
        <x:f>IF(I36="Done",1,IF(I36="Review",0.8,IF(I36="In Progress",0.5,0)))</x:f>
        <x:v>0</x:v>
      </x:c>
      <x:c r="N36" s="10" t="str"/>
      <x:c r="O36" s="10" t="str">
        <x:v>initQuiz</x:v>
      </x:c>
      <x:c r="P36" s="10" t="str"/>
    </x:row>
    <x:row r="37" ht="45" customHeight="1">
      <x:c r="A37" s="10" t="str">
        <x:v>T033</x:v>
      </x:c>
      <x:c r="B37" s="10" t="str">
        <x:v>Sprint 4</x:v>
      </x:c>
      <x:c r="C37" s="10" t="str">
        <x:v>Quiz</x:v>
      </x:c>
      <x:c r="D37" s="10" t="str">
        <x:v>quiz.js</x:v>
      </x:c>
      <x:c r="E37" s="10" t="str">
        <x:v>Tạo selectAnswer</x:v>
      </x:c>
      <x:c r="F37" s="10" t="str">
        <x:v>Bắt sự kiện chọn đáp án, khóa đáp án sau khi chọn.</x:v>
      </x:c>
      <x:c r="G37" s="10" t="str">
        <x:v>High</x:v>
      </x:c>
      <x:c r="H37" s="10" t="str">
        <x:v>FE Dev</x:v>
      </x:c>
      <x:c r="I37" s="10" t="str">
        <x:v>Not Started</x:v>
      </x:c>
      <x:c r="J37" s="12" t="n">
        <x:v>46179</x:v>
      </x:c>
      <x:c r="K37" s="12" t="n">
        <x:v>46179</x:v>
      </x:c>
      <x:c r="L37" s="14" t="n">
        <x:v>0.75</x:v>
      </x:c>
      <x:c r="M37" s="16" t="n">
        <x:f>IF(I37="Done",1,IF(I37="Review",0.8,IF(I37="In Progress",0.5,0)))</x:f>
        <x:v>0</x:v>
      </x:c>
      <x:c r="N37" s="10" t="str">
        <x:v>T032</x:v>
      </x:c>
      <x:c r="O37" s="10" t="str">
        <x:v>selectAnswer</x:v>
      </x:c>
      <x:c r="P37" s="10" t="str"/>
    </x:row>
    <x:row r="38" ht="45" customHeight="1">
      <x:c r="A38" s="10" t="str">
        <x:v>T034</x:v>
      </x:c>
      <x:c r="B38" s="10" t="str">
        <x:v>Sprint 4</x:v>
      </x:c>
      <x:c r="C38" s="10" t="str">
        <x:v>Quiz</x:v>
      </x:c>
      <x:c r="D38" s="10" t="str">
        <x:v>quiz.js</x:v>
      </x:c>
      <x:c r="E38" s="10" t="str">
        <x:v>Tạo instant feedback</x:v>
      </x:c>
      <x:c r="F38" s="10" t="str">
        <x:v>Hiển thị đúng/sai và giải thích ngắn ngay sau khi chọn.</x:v>
      </x:c>
      <x:c r="G38" s="10" t="str">
        <x:v>High</x:v>
      </x:c>
      <x:c r="H38" s="10" t="str">
        <x:v>FE Dev</x:v>
      </x:c>
      <x:c r="I38" s="10" t="str">
        <x:v>Not Started</x:v>
      </x:c>
      <x:c r="J38" s="12" t="n">
        <x:v>46180</x:v>
      </x:c>
      <x:c r="K38" s="12" t="n">
        <x:v>46180</x:v>
      </x:c>
      <x:c r="L38" s="14" t="n">
        <x:v>0.75</x:v>
      </x:c>
      <x:c r="M38" s="16" t="n">
        <x:f>IF(I38="Done",1,IF(I38="Review",0.8,IF(I38="In Progress",0.5,0)))</x:f>
        <x:v>0</x:v>
      </x:c>
      <x:c r="N38" s="10" t="str">
        <x:v>T033</x:v>
      </x:c>
      <x:c r="O38" s="10" t="str">
        <x:v>Feedback</x:v>
      </x:c>
      <x:c r="P38" s="10" t="str"/>
    </x:row>
    <x:row r="39" ht="45" customHeight="1">
      <x:c r="A39" s="10" t="str">
        <x:v>T035</x:v>
      </x:c>
      <x:c r="B39" s="10" t="str">
        <x:v>Sprint 4</x:v>
      </x:c>
      <x:c r="C39" s="10" t="str">
        <x:v>Quiz</x:v>
      </x:c>
      <x:c r="D39" s="10" t="str">
        <x:v>quiz.js</x:v>
      </x:c>
      <x:c r="E39" s="10" t="str">
        <x:v>Tạo calculateQuizScore</x:v>
      </x:c>
      <x:c r="F39" s="10" t="str">
        <x:v>Tính điểm quiz theo số câu đúng.</x:v>
      </x:c>
      <x:c r="G39" s="10" t="str">
        <x:v>High</x:v>
      </x:c>
      <x:c r="H39" s="10" t="str">
        <x:v>FE Dev</x:v>
      </x:c>
      <x:c r="I39" s="10" t="str">
        <x:v>Not Started</x:v>
      </x:c>
      <x:c r="J39" s="12" t="n">
        <x:v>46181</x:v>
      </x:c>
      <x:c r="K39" s="12" t="n">
        <x:v>46181</x:v>
      </x:c>
      <x:c r="L39" s="14" t="n">
        <x:v>0.5</x:v>
      </x:c>
      <x:c r="M39" s="16" t="n">
        <x:f>IF(I39="Done",1,IF(I39="Review",0.8,IF(I39="In Progress",0.5,0)))</x:f>
        <x:v>0</x:v>
      </x:c>
      <x:c r="N39" s="10" t="str">
        <x:v>T033</x:v>
      </x:c>
      <x:c r="O39" s="10" t="str">
        <x:v>Score function</x:v>
      </x:c>
      <x:c r="P39" s="10" t="str"/>
    </x:row>
    <x:row r="40" ht="45" customHeight="1">
      <x:c r="A40" s="10" t="str">
        <x:v>T036</x:v>
      </x:c>
      <x:c r="B40" s="10" t="str">
        <x:v>Sprint 4</x:v>
      </x:c>
      <x:c r="C40" s="10" t="str">
        <x:v>Quiz</x:v>
      </x:c>
      <x:c r="D40" s="10" t="str">
        <x:v>quiz.js</x:v>
      </x:c>
      <x:c r="E40" s="10" t="str">
        <x:v>Tạo saveQuizScore</x:v>
      </x:c>
      <x:c r="F40" s="10" t="str">
        <x:v>Lưu score quiz vào LocalStorage.</x:v>
      </x:c>
      <x:c r="G40" s="10" t="str">
        <x:v>Medium</x:v>
      </x:c>
      <x:c r="H40" s="10" t="str">
        <x:v>FE Dev</x:v>
      </x:c>
      <x:c r="I40" s="10" t="str">
        <x:v>Not Started</x:v>
      </x:c>
      <x:c r="J40" s="12" t="n">
        <x:v>46182</x:v>
      </x:c>
      <x:c r="K40" s="12" t="n">
        <x:v>46182</x:v>
      </x:c>
      <x:c r="L40" s="14" t="n">
        <x:v>0.5</x:v>
      </x:c>
      <x:c r="M40" s="16" t="n">
        <x:f>IF(I40="Done",1,IF(I40="Review",0.8,IF(I40="In Progress",0.5,0)))</x:f>
        <x:v>0</x:v>
      </x:c>
      <x:c r="N40" s="10" t="str">
        <x:v>T035</x:v>
      </x:c>
      <x:c r="O40" s="10" t="str">
        <x:v>Save score</x:v>
      </x:c>
      <x:c r="P40" s="10" t="str"/>
    </x:row>
    <x:row r="41" ht="45" customHeight="1">
      <x:c r="A41" s="10" t="str">
        <x:v>T037</x:v>
      </x:c>
      <x:c r="B41" s="10" t="str">
        <x:v>Sprint 4</x:v>
      </x:c>
      <x:c r="C41" s="10" t="str">
        <x:v>Quiz</x:v>
      </x:c>
      <x:c r="D41" s="10" t="str">
        <x:v>quiz.js</x:v>
      </x:c>
      <x:c r="E41" s="10" t="str">
        <x:v>Tạo retryQuiz</x:v>
      </x:c>
      <x:c r="F41" s="10" t="str">
        <x:v>Cho phép làm lại quiz.</x:v>
      </x:c>
      <x:c r="G41" s="10" t="str">
        <x:v>Medium</x:v>
      </x:c>
      <x:c r="H41" s="10" t="str">
        <x:v>FE Dev</x:v>
      </x:c>
      <x:c r="I41" s="10" t="str">
        <x:v>Not Started</x:v>
      </x:c>
      <x:c r="J41" s="12" t="n">
        <x:v>46183</x:v>
      </x:c>
      <x:c r="K41" s="12" t="n">
        <x:v>46183</x:v>
      </x:c>
      <x:c r="L41" s="14" t="n">
        <x:v>0.5</x:v>
      </x:c>
      <x:c r="M41" s="16" t="n">
        <x:f>IF(I41="Done",1,IF(I41="Review",0.8,IF(I41="In Progress",0.5,0)))</x:f>
        <x:v>0</x:v>
      </x:c>
      <x:c r="N41" s="10" t="str">
        <x:v>T036</x:v>
      </x:c>
      <x:c r="O41" s="10" t="str">
        <x:v>Retry quiz</x:v>
      </x:c>
      <x:c r="P41" s="10" t="str"/>
    </x:row>
    <x:row r="42" ht="45" customHeight="1">
      <x:c r="A42" s="10" t="str">
        <x:v>T038</x:v>
      </x:c>
      <x:c r="B42" s="10" t="str">
        <x:v>Sprint 4</x:v>
      </x:c>
      <x:c r="C42" s="10" t="str">
        <x:v>Quiz UI</x:v>
      </x:c>
      <x:c r="D42" s="10" t="str">
        <x:v>Lesson 01 Quiz</x:v>
      </x:c>
      <x:c r="E42" s="10" t="str">
        <x:v>Gắn quiz 3 câu vào lesson 01</x:v>
      </x:c>
      <x:c r="F42" s="10" t="str">
        <x:v>Quiz kiểm tra mẫu câu chào hỏi khi join dự án.</x:v>
      </x:c>
      <x:c r="G42" s="10" t="str">
        <x:v>High</x:v>
      </x:c>
      <x:c r="H42" s="10" t="str">
        <x:v>Content</x:v>
      </x:c>
      <x:c r="I42" s="10" t="str">
        <x:v>Not Started</x:v>
      </x:c>
      <x:c r="J42" s="12" t="n">
        <x:v>46184</x:v>
      </x:c>
      <x:c r="K42" s="12" t="n">
        <x:v>46184</x:v>
      </x:c>
      <x:c r="L42" s="14" t="n">
        <x:v>0.75</x:v>
      </x:c>
      <x:c r="M42" s="16" t="n">
        <x:f>IF(I42="Done",1,IF(I42="Review",0.8,IF(I42="In Progress",0.5,0)))</x:f>
        <x:v>0</x:v>
      </x:c>
      <x:c r="N42" s="10" t="str">
        <x:v>T020,T032</x:v>
      </x:c>
      <x:c r="O42" s="10" t="str">
        <x:v>Lesson quiz content</x:v>
      </x:c>
      <x:c r="P42" s="10" t="str"/>
    </x:row>
    <x:row r="43" ht="45" customHeight="1">
      <x:c r="A43" s="10" t="str">
        <x:v>T039</x:v>
      </x:c>
      <x:c r="B43" s="10" t="str">
        <x:v>Sprint 4</x:v>
      </x:c>
      <x:c r="C43" s="10" t="str">
        <x:v>Practice</x:v>
      </x:c>
      <x:c r="D43" s="10" t="str">
        <x:v>Fill in blank</x:v>
      </x:c>
      <x:c r="E43" s="10" t="str">
        <x:v>Code checkBlankAnswer</x:v>
      </x:c>
      <x:c r="F43" s="10" t="str">
        <x:v>Kiểm tra câu trả lời điền từ, ignore khoảng trắng cơ bản.</x:v>
      </x:c>
      <x:c r="G43" s="10" t="str">
        <x:v>High</x:v>
      </x:c>
      <x:c r="H43" s="10" t="str">
        <x:v>FE Dev</x:v>
      </x:c>
      <x:c r="I43" s="10" t="str">
        <x:v>Not Started</x:v>
      </x:c>
      <x:c r="J43" s="12" t="n">
        <x:v>46185</x:v>
      </x:c>
      <x:c r="K43" s="12" t="n">
        <x:v>46185</x:v>
      </x:c>
      <x:c r="L43" s="14" t="n">
        <x:v>0.75</x:v>
      </x:c>
      <x:c r="M43" s="16" t="n">
        <x:f>IF(I43="Done",1,IF(I43="Review",0.8,IF(I43="In Progress",0.5,0)))</x:f>
        <x:v>0</x:v>
      </x:c>
      <x:c r="N43" s="10" t="str">
        <x:v>T017</x:v>
      </x:c>
      <x:c r="O43" s="10" t="str">
        <x:v>Practice JS</x:v>
      </x:c>
      <x:c r="P43" s="10" t="str"/>
    </x:row>
    <x:row r="44" ht="45" customHeight="1">
      <x:c r="A44" s="10" t="str">
        <x:v>T040</x:v>
      </x:c>
      <x:c r="B44" s="10" t="str">
        <x:v>Sprint 4</x:v>
      </x:c>
      <x:c r="C44" s="10" t="str">
        <x:v>Practice</x:v>
      </x:c>
      <x:c r="D44" s="10" t="str">
        <x:v>Lesson 01 Practice</x:v>
      </x:c>
      <x:c r="E44" s="10" t="str">
        <x:v>Gắn fill-in-the-blank vào lesson 01</x:v>
      </x:c>
      <x:c r="F44" s="10" t="str">
        <x:v>Điền mẫu câu như お世話になります / よろしくお願いいたします.</x:v>
      </x:c>
      <x:c r="G44" s="10" t="str">
        <x:v>Medium</x:v>
      </x:c>
      <x:c r="H44" s="10" t="str">
        <x:v>Content</x:v>
      </x:c>
      <x:c r="I44" s="10" t="str">
        <x:v>Not Started</x:v>
      </x:c>
      <x:c r="J44" s="12" t="n">
        <x:v>46186</x:v>
      </x:c>
      <x:c r="K44" s="12" t="n">
        <x:v>46186</x:v>
      </x:c>
      <x:c r="L44" s="14" t="n">
        <x:v>0.5</x:v>
      </x:c>
      <x:c r="M44" s="16" t="n">
        <x:f>IF(I44="Done",1,IF(I44="Review",0.8,IF(I44="In Progress",0.5,0)))</x:f>
        <x:v>0</x:v>
      </x:c>
      <x:c r="N44" s="10" t="str">
        <x:v>T039</x:v>
      </x:c>
      <x:c r="O44" s="10" t="str">
        <x:v>Practice content</x:v>
      </x:c>
      <x:c r="P44" s="10" t="str"/>
    </x:row>
    <x:row r="45" ht="45" customHeight="1">
      <x:c r="A45" s="10" t="str">
        <x:v>T041</x:v>
      </x:c>
      <x:c r="B45" s="10" t="str">
        <x:v>Sprint 4</x:v>
      </x:c>
      <x:c r="C45" s="10" t="str">
        <x:v>QA</x:v>
      </x:c>
      <x:c r="D45" s="10" t="str">
        <x:v>Quiz/Practice QA</x:v>
      </x:c>
      <x:c r="E45" s="10" t="str">
        <x:v>Test quiz và practice</x:v>
      </x:c>
      <x:c r="F45" s="10" t="str">
        <x:v>Test điểm, feedback, retry, lưu score sau refresh.</x:v>
      </x:c>
      <x:c r="G45" s="10" t="str">
        <x:v>Medium</x:v>
      </x:c>
      <x:c r="H45" s="10" t="str">
        <x:v>QA</x:v>
      </x:c>
      <x:c r="I45" s="10" t="str">
        <x:v>Not Started</x:v>
      </x:c>
      <x:c r="J45" s="12" t="n">
        <x:v>46187</x:v>
      </x:c>
      <x:c r="K45" s="12" t="n">
        <x:v>46187</x:v>
      </x:c>
      <x:c r="L45" s="14" t="n">
        <x:v>0.5</x:v>
      </x:c>
      <x:c r="M45" s="16" t="n">
        <x:f>IF(I45="Done",1,IF(I45="Review",0.8,IF(I45="In Progress",0.5,0)))</x:f>
        <x:v>0</x:v>
      </x:c>
      <x:c r="N45" s="10" t="str">
        <x:v>T038,T039,T040</x:v>
      </x:c>
      <x:c r="O45" s="10" t="str">
        <x:v>QA note</x:v>
      </x:c>
      <x:c r="P45" s="10" t="str"/>
    </x:row>
    <x:row r="46" ht="45" customHeight="1">
      <x:c r="A46" s="10" t="str">
        <x:v>T042</x:v>
      </x:c>
      <x:c r="B46" s="10" t="str">
        <x:v>Sprint 5</x:v>
      </x:c>
      <x:c r="C46" s="10" t="str">
        <x:v>Vocabulary</x:v>
      </x:c>
      <x:c r="D46" s="10" t="str">
        <x:v>vocabulary/index.html</x:v>
      </x:c>
      <x:c r="E46" s="10" t="str">
        <x:v>Tạo vocabulary hub</x:v>
      </x:c>
      <x:c r="F46" s="10" t="str">
        <x:v>Trang tổng hợp từ vựng theo stage, module, chủ đề.</x:v>
      </x:c>
      <x:c r="G46" s="10" t="str">
        <x:v>High</x:v>
      </x:c>
      <x:c r="H46" s="10" t="str">
        <x:v>FE Dev</x:v>
      </x:c>
      <x:c r="I46" s="10" t="str">
        <x:v>Not Started</x:v>
      </x:c>
      <x:c r="J46" s="12" t="n">
        <x:v>46188</x:v>
      </x:c>
      <x:c r="K46" s="12" t="n">
        <x:v>46188</x:v>
      </x:c>
      <x:c r="L46" s="14" t="n">
        <x:v>1</x:v>
      </x:c>
      <x:c r="M46" s="16" t="n">
        <x:f>IF(I46="Done",1,IF(I46="Review",0.8,IF(I46="In Progress",0.5,0)))</x:f>
        <x:v>0</x:v>
      </x:c>
      <x:c r="N46" s="10" t="str"/>
      <x:c r="O46" s="10" t="str">
        <x:v>Vocabulary hub</x:v>
      </x:c>
      <x:c r="P46" s="10" t="str"/>
    </x:row>
    <x:row r="47" ht="45" customHeight="1">
      <x:c r="A47" s="10" t="str">
        <x:v>T043</x:v>
      </x:c>
      <x:c r="B47" s="10" t="str">
        <x:v>Sprint 5</x:v>
      </x:c>
      <x:c r="C47" s="10" t="str">
        <x:v>Flashcard</x:v>
      </x:c>
      <x:c r="D47" s="10" t="str">
        <x:v>flashcard.js</x:v>
      </x:c>
      <x:c r="E47" s="10" t="str">
        <x:v>Tạo initFlashcards</x:v>
      </x:c>
      <x:c r="F47" s="10" t="str">
        <x:v>Render flashcard từ data JS.</x:v>
      </x:c>
      <x:c r="G47" s="10" t="str">
        <x:v>High</x:v>
      </x:c>
      <x:c r="H47" s="10" t="str">
        <x:v>FE Dev</x:v>
      </x:c>
      <x:c r="I47" s="10" t="str">
        <x:v>Not Started</x:v>
      </x:c>
      <x:c r="J47" s="12" t="n">
        <x:v>46189</x:v>
      </x:c>
      <x:c r="K47" s="12" t="n">
        <x:v>46189</x:v>
      </x:c>
      <x:c r="L47" s="14" t="n">
        <x:v>1</x:v>
      </x:c>
      <x:c r="M47" s="16" t="n">
        <x:f>IF(I47="Done",1,IF(I47="Review",0.8,IF(I47="In Progress",0.5,0)))</x:f>
        <x:v>0</x:v>
      </x:c>
      <x:c r="N47" s="10" t="str">
        <x:v>T042</x:v>
      </x:c>
      <x:c r="O47" s="10" t="str">
        <x:v>initFlashcards</x:v>
      </x:c>
      <x:c r="P47" s="10" t="str"/>
    </x:row>
    <x:row r="48" ht="45" customHeight="1">
      <x:c r="A48" s="10" t="str">
        <x:v>T044</x:v>
      </x:c>
      <x:c r="B48" s="10" t="str">
        <x:v>Sprint 5</x:v>
      </x:c>
      <x:c r="C48" s="10" t="str">
        <x:v>Flashcard</x:v>
      </x:c>
      <x:c r="D48" s="10" t="str">
        <x:v>flashcard.js</x:v>
      </x:c>
      <x:c r="E48" s="10" t="str">
        <x:v>Tạo flipCard</x:v>
      </x:c>
      <x:c r="F48" s="10" t="str">
        <x:v>Lật Nhật ↔ Việt.</x:v>
      </x:c>
      <x:c r="G48" s="10" t="str">
        <x:v>High</x:v>
      </x:c>
      <x:c r="H48" s="10" t="str">
        <x:v>FE Dev</x:v>
      </x:c>
      <x:c r="I48" s="10" t="str">
        <x:v>Not Started</x:v>
      </x:c>
      <x:c r="J48" s="12" t="n">
        <x:v>46190</x:v>
      </x:c>
      <x:c r="K48" s="12" t="n">
        <x:v>46190</x:v>
      </x:c>
      <x:c r="L48" s="14" t="n">
        <x:v>0.5</x:v>
      </x:c>
      <x:c r="M48" s="16" t="n">
        <x:f>IF(I48="Done",1,IF(I48="Review",0.8,IF(I48="In Progress",0.5,0)))</x:f>
        <x:v>0</x:v>
      </x:c>
      <x:c r="N48" s="10" t="str">
        <x:v>T043</x:v>
      </x:c>
      <x:c r="O48" s="10" t="str">
        <x:v>flipCard</x:v>
      </x:c>
      <x:c r="P48" s="10" t="str"/>
    </x:row>
    <x:row r="49" ht="45" customHeight="1">
      <x:c r="A49" s="10" t="str">
        <x:v>T045</x:v>
      </x:c>
      <x:c r="B49" s="10" t="str">
        <x:v>Sprint 5</x:v>
      </x:c>
      <x:c r="C49" s="10" t="str">
        <x:v>Flashcard</x:v>
      </x:c>
      <x:c r="D49" s="10" t="str">
        <x:v>flashcard.js</x:v>
      </x:c>
      <x:c r="E49" s="10" t="str">
        <x:v>Tạo markWordKnown</x:v>
      </x:c>
      <x:c r="F49" s="10" t="str">
        <x:v>Đánh dấu từ đã nhớ vào LocalStorage.</x:v>
      </x:c>
      <x:c r="G49" s="10" t="str">
        <x:v>Medium</x:v>
      </x:c>
      <x:c r="H49" s="10" t="str">
        <x:v>FE Dev</x:v>
      </x:c>
      <x:c r="I49" s="10" t="str">
        <x:v>Not Started</x:v>
      </x:c>
      <x:c r="J49" s="12" t="n">
        <x:v>46191</x:v>
      </x:c>
      <x:c r="K49" s="12" t="n">
        <x:v>46191</x:v>
      </x:c>
      <x:c r="L49" s="14" t="n">
        <x:v>0.5</x:v>
      </x:c>
      <x:c r="M49" s="16" t="n">
        <x:f>IF(I49="Done",1,IF(I49="Review",0.8,IF(I49="In Progress",0.5,0)))</x:f>
        <x:v>0</x:v>
      </x:c>
      <x:c r="N49" s="10" t="str">
        <x:v>T043</x:v>
      </x:c>
      <x:c r="O49" s="10" t="str">
        <x:v>Known words</x:v>
      </x:c>
      <x:c r="P49" s="10" t="str"/>
    </x:row>
    <x:row r="50" ht="45" customHeight="1">
      <x:c r="A50" s="10" t="str">
        <x:v>T046</x:v>
      </x:c>
      <x:c r="B50" s="10" t="str">
        <x:v>Sprint 5</x:v>
      </x:c>
      <x:c r="C50" s="10" t="str">
        <x:v>Flashcard</x:v>
      </x:c>
      <x:c r="D50" s="10" t="str">
        <x:v>flashcard.js</x:v>
      </x:c>
      <x:c r="E50" s="10" t="str">
        <x:v>Tạo markWordDifficult</x:v>
      </x:c>
      <x:c r="F50" s="10" t="str">
        <x:v>Đánh dấu từ khó cần ôn lại.</x:v>
      </x:c>
      <x:c r="G50" s="10" t="str">
        <x:v>Medium</x:v>
      </x:c>
      <x:c r="H50" s="10" t="str">
        <x:v>FE Dev</x:v>
      </x:c>
      <x:c r="I50" s="10" t="str">
        <x:v>Not Started</x:v>
      </x:c>
      <x:c r="J50" s="12" t="n">
        <x:v>46192</x:v>
      </x:c>
      <x:c r="K50" s="12" t="n">
        <x:v>46192</x:v>
      </x:c>
      <x:c r="L50" s="14" t="n">
        <x:v>0.5</x:v>
      </x:c>
      <x:c r="M50" s="16" t="n">
        <x:f>IF(I50="Done",1,IF(I50="Review",0.8,IF(I50="In Progress",0.5,0)))</x:f>
        <x:v>0</x:v>
      </x:c>
      <x:c r="N50" s="10" t="str">
        <x:v>T043</x:v>
      </x:c>
      <x:c r="O50" s="10" t="str">
        <x:v>Difficult words</x:v>
      </x:c>
      <x:c r="P50" s="10" t="str"/>
    </x:row>
    <x:row r="51" ht="45" customHeight="1">
      <x:c r="A51" s="10" t="str">
        <x:v>T047</x:v>
      </x:c>
      <x:c r="B51" s="10" t="str">
        <x:v>Sprint 5</x:v>
      </x:c>
      <x:c r="C51" s="10" t="str">
        <x:v>Flashcard</x:v>
      </x:c>
      <x:c r="D51" s="10" t="str">
        <x:v>Review Words</x:v>
      </x:c>
      <x:c r="E51" s="10" t="str">
        <x:v>Tạo danh sách từ cần ôn</x:v>
      </x:c>
      <x:c r="F51" s="10" t="str">
        <x:v>Lọc các từ đã đánh dấu difficult.</x:v>
      </x:c>
      <x:c r="G51" s="10" t="str">
        <x:v>Medium</x:v>
      </x:c>
      <x:c r="H51" s="10" t="str">
        <x:v>FE Dev</x:v>
      </x:c>
      <x:c r="I51" s="10" t="str">
        <x:v>Not Started</x:v>
      </x:c>
      <x:c r="J51" s="12" t="n">
        <x:v>46193</x:v>
      </x:c>
      <x:c r="K51" s="12" t="n">
        <x:v>46193</x:v>
      </x:c>
      <x:c r="L51" s="14" t="n">
        <x:v>0.75</x:v>
      </x:c>
      <x:c r="M51" s="16" t="n">
        <x:f>IF(I51="Done",1,IF(I51="Review",0.8,IF(I51="In Progress",0.5,0)))</x:f>
        <x:v>0</x:v>
      </x:c>
      <x:c r="N51" s="10" t="str">
        <x:v>T046</x:v>
      </x:c>
      <x:c r="O51" s="10" t="str">
        <x:v>Review list</x:v>
      </x:c>
      <x:c r="P51" s="10" t="str"/>
    </x:row>
    <x:row r="52" ht="45" customHeight="1">
      <x:c r="A52" s="10" t="str">
        <x:v>T048</x:v>
      </x:c>
      <x:c r="B52" s="10" t="str">
        <x:v>Sprint 5</x:v>
      </x:c>
      <x:c r="C52" s="10" t="str">
        <x:v>Phrase Bank</x:v>
      </x:c>
      <x:c r="D52" s="10" t="str">
        <x:v>phrases.html</x:v>
      </x:c>
      <x:c r="E52" s="10" t="str">
        <x:v>Tạo kho mẫu câu cố định</x:v>
      </x:c>
      <x:c r="F52" s="10" t="str">
        <x:v>Nhóm mẫu câu: chào hỏi, báo cáo, xác nhận, xin lỗi, nhờ hỗ trợ, delay.</x:v>
      </x:c>
      <x:c r="G52" s="10" t="str">
        <x:v>High</x:v>
      </x:c>
      <x:c r="H52" s="10" t="str">
        <x:v>Content</x:v>
      </x:c>
      <x:c r="I52" s="10" t="str">
        <x:v>Not Started</x:v>
      </x:c>
      <x:c r="J52" s="12" t="n">
        <x:v>46194</x:v>
      </x:c>
      <x:c r="K52" s="12" t="n">
        <x:v>46195</x:v>
      </x:c>
      <x:c r="L52" s="14" t="n">
        <x:v>1.5</x:v>
      </x:c>
      <x:c r="M52" s="16" t="n">
        <x:f>IF(I52="Done",1,IF(I52="Review",0.8,IF(I52="In Progress",0.5,0)))</x:f>
        <x:v>0</x:v>
      </x:c>
      <x:c r="N52" s="10" t="str"/>
      <x:c r="O52" s="10" t="str">
        <x:v>Phrase bank content</x:v>
      </x:c>
      <x:c r="P52" s="10" t="str"/>
    </x:row>
    <x:row r="53" ht="45" customHeight="1">
      <x:c r="A53" s="10" t="str">
        <x:v>T049</x:v>
      </x:c>
      <x:c r="B53" s="10" t="str">
        <x:v>Sprint 5</x:v>
      </x:c>
      <x:c r="C53" s="10" t="str">
        <x:v>Phrase Bank</x:v>
      </x:c>
      <x:c r="D53" s="10" t="str">
        <x:v>phrases.html</x:v>
      </x:c>
      <x:c r="E53" s="10" t="str">
        <x:v>Code UI phrase bank</x:v>
      </x:c>
      <x:c r="F53" s="10" t="str">
        <x:v>Filter theo tình huống, copy phrase, hiển thị nghĩa Việt.</x:v>
      </x:c>
      <x:c r="G53" s="10" t="str">
        <x:v>High</x:v>
      </x:c>
      <x:c r="H53" s="10" t="str">
        <x:v>FE Dev</x:v>
      </x:c>
      <x:c r="I53" s="10" t="str">
        <x:v>Not Started</x:v>
      </x:c>
      <x:c r="J53" s="12" t="n">
        <x:v>46196</x:v>
      </x:c>
      <x:c r="K53" s="12" t="n">
        <x:v>46196</x:v>
      </x:c>
      <x:c r="L53" s="14" t="n">
        <x:v>1</x:v>
      </x:c>
      <x:c r="M53" s="16" t="n">
        <x:f>IF(I53="Done",1,IF(I53="Review",0.8,IF(I53="In Progress",0.5,0)))</x:f>
        <x:v>0</x:v>
      </x:c>
      <x:c r="N53" s="10" t="str">
        <x:v>T048</x:v>
      </x:c>
      <x:c r="O53" s="10" t="str">
        <x:v>Phrase bank UI</x:v>
      </x:c>
      <x:c r="P53" s="10" t="str"/>
    </x:row>
    <x:row r="54" ht="45" customHeight="1">
      <x:c r="A54" s="10" t="str">
        <x:v>T050</x:v>
      </x:c>
      <x:c r="B54" s="10" t="str">
        <x:v>Sprint 5</x:v>
      </x:c>
      <x:c r="C54" s="10" t="str">
        <x:v>Audio</x:v>
      </x:c>
      <x:c r="D54" s="10" t="str">
        <x:v>Audio Button</x:v>
      </x:c>
      <x:c r="E54" s="10" t="str">
        <x:v>Tạo UI nút audio</x:v>
      </x:c>
      <x:c r="F54" s="10" t="str">
        <x:v>Nút audio dùng file pre-recorded hoặc placeholder nếu chưa có file.</x:v>
      </x:c>
      <x:c r="G54" s="10" t="str">
        <x:v>Low</x:v>
      </x:c>
      <x:c r="H54" s="10" t="str">
        <x:v>FE Dev</x:v>
      </x:c>
      <x:c r="I54" s="10" t="str">
        <x:v>Not Started</x:v>
      </x:c>
      <x:c r="J54" s="12" t="n">
        <x:v>46197</x:v>
      </x:c>
      <x:c r="K54" s="12" t="n">
        <x:v>46197</x:v>
      </x:c>
      <x:c r="L54" s="14" t="n">
        <x:v>0.75</x:v>
      </x:c>
      <x:c r="M54" s="16" t="n">
        <x:f>IF(I54="Done",1,IF(I54="Review",0.8,IF(I54="In Progress",0.5,0)))</x:f>
        <x:v>0</x:v>
      </x:c>
      <x:c r="N54" s="10" t="str">
        <x:v>T014,T043</x:v>
      </x:c>
      <x:c r="O54" s="10" t="str">
        <x:v>Audio button</x:v>
      </x:c>
      <x:c r="P54" s="10" t="str"/>
    </x:row>
    <x:row r="55" ht="45" customHeight="1">
      <x:c r="A55" s="10" t="str">
        <x:v>T051</x:v>
      </x:c>
      <x:c r="B55" s="10" t="str">
        <x:v>Sprint 5</x:v>
      </x:c>
      <x:c r="C55" s="10" t="str">
        <x:v>QA</x:v>
      </x:c>
      <x:c r="D55" s="10" t="str">
        <x:v>Vocabulary QA</x:v>
      </x:c>
      <x:c r="E55" s="10" t="str">
        <x:v>Test flashcard/vocabulary</x:v>
      </x:c>
      <x:c r="F55" s="10" t="str">
        <x:v>Test lật thẻ, lưu từ khó, refresh vẫn còn dữ liệu.</x:v>
      </x:c>
      <x:c r="G55" s="10" t="str">
        <x:v>Medium</x:v>
      </x:c>
      <x:c r="H55" s="10" t="str">
        <x:v>QA</x:v>
      </x:c>
      <x:c r="I55" s="10" t="str">
        <x:v>Not Started</x:v>
      </x:c>
      <x:c r="J55" s="12" t="n">
        <x:v>46198</x:v>
      </x:c>
      <x:c r="K55" s="12" t="n">
        <x:v>46198</x:v>
      </x:c>
      <x:c r="L55" s="14" t="n">
        <x:v>0.5</x:v>
      </x:c>
      <x:c r="M55" s="16" t="n">
        <x:f>IF(I55="Done",1,IF(I55="Review",0.8,IF(I55="In Progress",0.5,0)))</x:f>
        <x:v>0</x:v>
      </x:c>
      <x:c r="N55" s="10" t="str">
        <x:v>T043,T044,T045,T046,T049</x:v>
      </x:c>
      <x:c r="O55" s="10" t="str">
        <x:v>QA note</x:v>
      </x:c>
      <x:c r="P55" s="10" t="str"/>
    </x:row>
    <x:row r="56" ht="45" customHeight="1">
      <x:c r="A56" s="10" t="str">
        <x:v>T052</x:v>
      </x:c>
      <x:c r="B56" s="10" t="str">
        <x:v>Sprint 6</x:v>
      </x:c>
      <x:c r="C56" s="10" t="str">
        <x:v>Responsive</x:v>
      </x:c>
      <x:c r="D56" s="10" t="str">
        <x:v>Mobile UI</x:v>
      </x:c>
      <x:c r="E56" s="10" t="str">
        <x:v>Kiểm tra responsive toàn site</x:v>
      </x:c>
      <x:c r="F56" s="10" t="str">
        <x:v>Landing, hub, stage, lesson, quiz, flashcard trên mobile.</x:v>
      </x:c>
      <x:c r="G56" s="10" t="str">
        <x:v>High</x:v>
      </x:c>
      <x:c r="H56" s="10" t="str">
        <x:v>QA</x:v>
      </x:c>
      <x:c r="I56" s="10" t="str">
        <x:v>Not Started</x:v>
      </x:c>
      <x:c r="J56" s="12" t="n">
        <x:v>46199</x:v>
      </x:c>
      <x:c r="K56" s="12" t="n">
        <x:v>46199</x:v>
      </x:c>
      <x:c r="L56" s="14" t="n">
        <x:v>1</x:v>
      </x:c>
      <x:c r="M56" s="16" t="n">
        <x:f>IF(I56="Done",1,IF(I56="Review",0.8,IF(I56="In Progress",0.5,0)))</x:f>
        <x:v>0</x:v>
      </x:c>
      <x:c r="N56" s="10" t="str"/>
      <x:c r="O56" s="10" t="str">
        <x:v>Responsive QA</x:v>
      </x:c>
      <x:c r="P56" s="10" t="str"/>
    </x:row>
    <x:row r="57" ht="45" customHeight="1">
      <x:c r="A57" s="10" t="str">
        <x:v>T053</x:v>
      </x:c>
      <x:c r="B57" s="10" t="str">
        <x:v>Sprint 6</x:v>
      </x:c>
      <x:c r="C57" s="10" t="str">
        <x:v>Theme</x:v>
      </x:c>
      <x:c r="D57" s="10" t="str">
        <x:v>theme.js</x:v>
      </x:c>
      <x:c r="E57" s="10" t="str">
        <x:v>Tạo dark mode toggle</x:v>
      </x:c>
      <x:c r="F57" s="10" t="str">
        <x:v>Lưu theme vào LocalStorage, apply class dark.</x:v>
      </x:c>
      <x:c r="G57" s="10" t="str">
        <x:v>Medium</x:v>
      </x:c>
      <x:c r="H57" s="10" t="str">
        <x:v>FE Dev</x:v>
      </x:c>
      <x:c r="I57" s="10" t="str">
        <x:v>Not Started</x:v>
      </x:c>
      <x:c r="J57" s="12" t="n">
        <x:v>46200</x:v>
      </x:c>
      <x:c r="K57" s="12" t="n">
        <x:v>46200</x:v>
      </x:c>
      <x:c r="L57" s="14" t="n">
        <x:v>0.75</x:v>
      </x:c>
      <x:c r="M57" s="16" t="n">
        <x:f>IF(I57="Done",1,IF(I57="Review",0.8,IF(I57="In Progress",0.5,0)))</x:f>
        <x:v>0</x:v>
      </x:c>
      <x:c r="N57" s="10" t="str">
        <x:v>T002</x:v>
      </x:c>
      <x:c r="O57" s="10" t="str">
        <x:v>Dark mode</x:v>
      </x:c>
      <x:c r="P57" s="10" t="str"/>
    </x:row>
    <x:row r="58" ht="45" customHeight="1">
      <x:c r="A58" s="10" t="str">
        <x:v>T054</x:v>
      </x:c>
      <x:c r="B58" s="10" t="str">
        <x:v>Sprint 6</x:v>
      </x:c>
      <x:c r="C58" s="10" t="str">
        <x:v>Design Polish</x:v>
      </x:c>
      <x:c r="D58" s="10" t="str">
        <x:v>Landing</x:v>
      </x:c>
      <x:c r="E58" s="10" t="str">
        <x:v>Cải thiện visual landing page</x:v>
      </x:c>
      <x:c r="F58" s="10" t="str">
        <x:v>Spacing, button, card, màu thương hiệu Nhật đỏ + indigo.</x:v>
      </x:c>
      <x:c r="G58" s="10" t="str">
        <x:v>Medium</x:v>
      </x:c>
      <x:c r="H58" s="10" t="str">
        <x:v>Designer</x:v>
      </x:c>
      <x:c r="I58" s="10" t="str">
        <x:v>Not Started</x:v>
      </x:c>
      <x:c r="J58" s="12" t="n">
        <x:v>46201</x:v>
      </x:c>
      <x:c r="K58" s="12" t="n">
        <x:v>46201</x:v>
      </x:c>
      <x:c r="L58" s="14" t="n">
        <x:v>1</x:v>
      </x:c>
      <x:c r="M58" s="16" t="n">
        <x:f>IF(I58="Done",1,IF(I58="Review",0.8,IF(I58="In Progress",0.5,0)))</x:f>
        <x:v>0</x:v>
      </x:c>
      <x:c r="N58" s="10" t="str">
        <x:v>T003</x:v>
      </x:c>
      <x:c r="O58" s="10" t="str">
        <x:v>Polished landing</x:v>
      </x:c>
      <x:c r="P58" s="10" t="str"/>
    </x:row>
    <x:row r="59" ht="45" customHeight="1">
      <x:c r="A59" s="10" t="str">
        <x:v>T055</x:v>
      </x:c>
      <x:c r="B59" s="10" t="str">
        <x:v>Sprint 6</x:v>
      </x:c>
      <x:c r="C59" s="10" t="str">
        <x:v>Design Polish</x:v>
      </x:c>
      <x:c r="D59" s="10" t="str">
        <x:v>Lesson</x:v>
      </x:c>
      <x:c r="E59" s="10" t="str">
        <x:v>Cải thiện visual lesson page</x:v>
      </x:c>
      <x:c r="F59" s="10" t="str">
        <x:v>Tối ưu đọc dài: block tiếng Nhật, ví dụ, practice, quiz.</x:v>
      </x:c>
      <x:c r="G59" s="10" t="str">
        <x:v>Medium</x:v>
      </x:c>
      <x:c r="H59" s="10" t="str">
        <x:v>Designer</x:v>
      </x:c>
      <x:c r="I59" s="10" t="str">
        <x:v>Not Started</x:v>
      </x:c>
      <x:c r="J59" s="12" t="n">
        <x:v>46202</x:v>
      </x:c>
      <x:c r="K59" s="12" t="n">
        <x:v>46202</x:v>
      </x:c>
      <x:c r="L59" s="14" t="n">
        <x:v>1</x:v>
      </x:c>
      <x:c r="M59" s="16" t="n">
        <x:f>IF(I59="Done",1,IF(I59="Review",0.8,IF(I59="In Progress",0.5,0)))</x:f>
        <x:v>0</x:v>
      </x:c>
      <x:c r="N59" s="10" t="str">
        <x:v>T020,T038</x:v>
      </x:c>
      <x:c r="O59" s="10" t="str">
        <x:v>Polished lesson</x:v>
      </x:c>
      <x:c r="P59" s="10" t="str"/>
    </x:row>
    <x:row r="60" ht="45" customHeight="1">
      <x:c r="A60" s="10" t="str">
        <x:v>T056</x:v>
      </x:c>
      <x:c r="B60" s="10" t="str">
        <x:v>Sprint 6</x:v>
      </x:c>
      <x:c r="C60" s="10" t="str">
        <x:v>Content</x:v>
      </x:c>
      <x:c r="D60" s="10" t="str">
        <x:v>Stage 2 MVP</x:v>
      </x:c>
      <x:c r="E60" s="10" t="str">
        <x:v>Tạo thêm 2 lesson mẫu</x:v>
      </x:c>
      <x:c r="F60" s="10" t="str">
        <x:v>Meeting: khi không hiểu ý khách; Reporting: báo tiến độ/delay.</x:v>
      </x:c>
      <x:c r="G60" s="10" t="str">
        <x:v>High</x:v>
      </x:c>
      <x:c r="H60" s="10" t="str">
        <x:v>Content</x:v>
      </x:c>
      <x:c r="I60" s="10" t="str">
        <x:v>Not Started</x:v>
      </x:c>
      <x:c r="J60" s="12" t="n">
        <x:v>46203</x:v>
      </x:c>
      <x:c r="K60" s="12" t="n">
        <x:v>46204</x:v>
      </x:c>
      <x:c r="L60" s="14" t="n">
        <x:v>2</x:v>
      </x:c>
      <x:c r="M60" s="16" t="n">
        <x:f>IF(I60="Done",1,IF(I60="Review",0.8,IF(I60="In Progress",0.5,0)))</x:f>
        <x:v>0</x:v>
      </x:c>
      <x:c r="N60" s="10" t="str">
        <x:v>T020</x:v>
      </x:c>
      <x:c r="O60" s="10" t="str">
        <x:v>Lesson 02-03 content</x:v>
      </x:c>
      <x:c r="P60" s="10" t="str"/>
    </x:row>
    <x:row r="61" ht="45" customHeight="1">
      <x:c r="A61" s="10" t="str">
        <x:v>T057</x:v>
      </x:c>
      <x:c r="B61" s="10" t="str">
        <x:v>Sprint 6</x:v>
      </x:c>
      <x:c r="C61" s="10" t="str">
        <x:v>Lesson Build</x:v>
      </x:c>
      <x:c r="D61" s="10" t="str">
        <x:v>Stage 2 MVP</x:v>
      </x:c>
      <x:c r="E61" s="10" t="str">
        <x:v>Code lesson 02 và lesson 03</x:v>
      </x:c>
      <x:c r="F61" s="10" t="str">
        <x:v>Dùng lại template lesson 01 để tạo 2 bài mới.</x:v>
      </x:c>
      <x:c r="G61" s="10" t="str">
        <x:v>High</x:v>
      </x:c>
      <x:c r="H61" s="10" t="str">
        <x:v>FE Dev</x:v>
      </x:c>
      <x:c r="I61" s="10" t="str">
        <x:v>Not Started</x:v>
      </x:c>
      <x:c r="J61" s="12" t="n">
        <x:v>46205</x:v>
      </x:c>
      <x:c r="K61" s="12" t="n">
        <x:v>46206</x:v>
      </x:c>
      <x:c r="L61" s="14" t="n">
        <x:v>1.5</x:v>
      </x:c>
      <x:c r="M61" s="16" t="n">
        <x:f>IF(I61="Done",1,IF(I61="Review",0.8,IF(I61="In Progress",0.5,0)))</x:f>
        <x:v>0</x:v>
      </x:c>
      <x:c r="N61" s="10" t="str">
        <x:v>T055</x:v>
      </x:c>
      <x:c r="O61" s="10" t="str">
        <x:v>Lesson 02-03 pages</x:v>
      </x:c>
      <x:c r="P61" s="10" t="str"/>
    </x:row>
    <x:row r="62" ht="45" customHeight="1">
      <x:c r="A62" s="10" t="str">
        <x:v>T058</x:v>
      </x:c>
      <x:c r="B62" s="10" t="str">
        <x:v>Sprint 6</x:v>
      </x:c>
      <x:c r="C62" s="10" t="str">
        <x:v>Link QA</x:v>
      </x:c>
      <x:c r="D62" s="10" t="str">
        <x:v>All Links</x:v>
      </x:c>
      <x:c r="E62" s="10" t="str">
        <x:v>Kiểm tra toàn bộ link</x:v>
      </x:c>
      <x:c r="F62" s="10" t="str">
        <x:v>Không để link chết giữa landing, hub, stage, module, lesson.</x:v>
      </x:c>
      <x:c r="G62" s="10" t="str">
        <x:v>High</x:v>
      </x:c>
      <x:c r="H62" s="10" t="str">
        <x:v>QA</x:v>
      </x:c>
      <x:c r="I62" s="10" t="str">
        <x:v>Not Started</x:v>
      </x:c>
      <x:c r="J62" s="12" t="n">
        <x:v>46207</x:v>
      </x:c>
      <x:c r="K62" s="12" t="n">
        <x:v>46207</x:v>
      </x:c>
      <x:c r="L62" s="14" t="n">
        <x:v>0.5</x:v>
      </x:c>
      <x:c r="M62" s="16" t="n">
        <x:f>IF(I62="Done",1,IF(I62="Review",0.8,IF(I62="In Progress",0.5,0)))</x:f>
        <x:v>0</x:v>
      </x:c>
      <x:c r="N62" s="10" t="str">
        <x:v>T056</x:v>
      </x:c>
      <x:c r="O62" s="10" t="str">
        <x:v>Link QA</x:v>
      </x:c>
      <x:c r="P62" s="10" t="str"/>
    </x:row>
    <x:row r="63" ht="45" customHeight="1">
      <x:c r="A63" s="10" t="str">
        <x:v>T059</x:v>
      </x:c>
      <x:c r="B63" s="10" t="str">
        <x:v>Sprint 6</x:v>
      </x:c>
      <x:c r="C63" s="10" t="str">
        <x:v>Screenshot</x:v>
      </x:c>
      <x:c r="D63" s="10" t="str">
        <x:v>assets/screenshots</x:v>
      </x:c>
      <x:c r="E63" s="10" t="str">
        <x:v>Chụp screenshot sau thay đổi lớn</x:v>
      </x:c>
      <x:c r="F63" s="10" t="str">
        <x:v>Lưu ảnh landing, hub, lesson, flashcard.</x:v>
      </x:c>
      <x:c r="G63" s="10" t="str">
        <x:v>Low</x:v>
      </x:c>
      <x:c r="H63" s="10" t="str">
        <x:v>QA</x:v>
      </x:c>
      <x:c r="I63" s="10" t="str">
        <x:v>Not Started</x:v>
      </x:c>
      <x:c r="J63" s="12" t="n">
        <x:v>46208</x:v>
      </x:c>
      <x:c r="K63" s="12" t="n">
        <x:v>46208</x:v>
      </x:c>
      <x:c r="L63" s="14" t="n">
        <x:v>0.5</x:v>
      </x:c>
      <x:c r="M63" s="16" t="n">
        <x:f>IF(I63="Done",1,IF(I63="Review",0.8,IF(I63="In Progress",0.5,0)))</x:f>
        <x:v>0</x:v>
      </x:c>
      <x:c r="N63" s="10" t="str">
        <x:v>T057</x:v>
      </x:c>
      <x:c r="O63" s="10" t="str">
        <x:v>Screenshots</x:v>
      </x:c>
      <x:c r="P63" s="10" t="str"/>
    </x:row>
    <x:row r="64" ht="45" customHeight="1">
      <x:c r="A64" s="10" t="str">
        <x:v>T060</x:v>
      </x:c>
      <x:c r="B64" s="10" t="str">
        <x:v>Sprint 6</x:v>
      </x:c>
      <x:c r="C64" s="10" t="str">
        <x:v>Deploy</x:v>
      </x:c>
      <x:c r="D64" s="10" t="str">
        <x:v>GitHub Pages</x:v>
      </x:c>
      <x:c r="E64" s="10" t="str">
        <x:v>Deploy MVP demo</x:v>
      </x:c>
      <x:c r="F64" s="10" t="str">
        <x:v>Deploy bản cuối Sprint 6 lên GitHub Pages.</x:v>
      </x:c>
      <x:c r="G64" s="10" t="str">
        <x:v>High</x:v>
      </x:c>
      <x:c r="H64" s="10" t="str">
        <x:v>FE Dev</x:v>
      </x:c>
      <x:c r="I64" s="10" t="str">
        <x:v>Not Started</x:v>
      </x:c>
      <x:c r="J64" s="12" t="n">
        <x:v>46209</x:v>
      </x:c>
      <x:c r="K64" s="12" t="n">
        <x:v>46209</x:v>
      </x:c>
      <x:c r="L64" s="14" t="n">
        <x:v>0.5</x:v>
      </x:c>
      <x:c r="M64" s="16" t="n">
        <x:f>IF(I64="Done",1,IF(I64="Review",0.8,IF(I64="In Progress",0.5,0)))</x:f>
        <x:v>0</x:v>
      </x:c>
      <x:c r="N64" s="10" t="str">
        <x:v>T057</x:v>
      </x:c>
      <x:c r="O64" s="10" t="str">
        <x:v>MVP URL</x:v>
      </x:c>
      <x:c r="P64" s="10" t="str"/>
    </x:row>
    <x:row r="65" ht="45" customHeight="1">
      <x:c r="A65" s="10" t="str">
        <x:v>T061</x:v>
      </x:c>
      <x:c r="B65" s="10" t="str">
        <x:v>Sprint 6</x:v>
      </x:c>
      <x:c r="C65" s="10" t="str">
        <x:v>Release</x:v>
      </x:c>
      <x:c r="D65" s="10" t="str">
        <x:v>MVP Review</x:v>
      </x:c>
      <x:c r="E65" s="10" t="str">
        <x:v>Review MVP với checklist</x:v>
      </x:c>
      <x:c r="F65" s="10" t="str">
        <x:v>Kiểm tra MVP đủ: landing, hub, Stage2, 3 lesson, progress, quiz, flashcard.</x:v>
      </x:c>
      <x:c r="G65" s="10" t="str">
        <x:v>High</x:v>
      </x:c>
      <x:c r="H65" s="10" t="str">
        <x:v>PM</x:v>
      </x:c>
      <x:c r="I65" s="10" t="str">
        <x:v>Not Started</x:v>
      </x:c>
      <x:c r="J65" s="12" t="n">
        <x:v>46210</x:v>
      </x:c>
      <x:c r="K65" s="12" t="n">
        <x:v>46210</x:v>
      </x:c>
      <x:c r="L65" s="14" t="n">
        <x:v>0.5</x:v>
      </x:c>
      <x:c r="M65" s="16" t="n">
        <x:f>IF(I65="Done",1,IF(I65="Review",0.8,IF(I65="In Progress",0.5,0)))</x:f>
        <x:v>0</x:v>
      </x:c>
      <x:c r="N65" s="10" t="str">
        <x:v>T059</x:v>
      </x:c>
      <x:c r="O65" s="10" t="str">
        <x:v>MVP checklist</x:v>
      </x:c>
      <x:c r="P65" s="10" t="str"/>
    </x:row>
  </x:sheetData>
  <x:dataValidations count="3">
    <x:dataValidation type="list" allowBlank="0" showDropDown="0" sqref="G5:G65">
      <x:formula1>"High,Medium,Low"</x:formula1>
    </x:dataValidation>
    <x:dataValidation type="list" allowBlank="1" showDropDown="0" sqref="H5:H65">
      <x:formula1>"FE Dev,Content,PM,Designer,QA,Unassigned"</x:formula1>
    </x:dataValidation>
    <x:dataValidation type="list" allowBlank="0" showDropDown="0" sqref="I5:I65">
      <x:formula1>"Not Started,In Progress,Review,Done,Blocked"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3" hidden="0" customWidth="1"/>
    <x:col min="5" max="5" width="3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3" t="str">
        <x:v>Senpai MVP — Dashboard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Theo dõi tổng quan task coding, sprint, trạng thái và tiến độ MVP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22" t="str">
        <x:v>Tổng task</x:v>
      </x:c>
      <x:c r="B4" s="24" t="n">
        <x:f>COUNTA('Task Plan'!A5:A65)</x:f>
        <x:v>61</x:v>
      </x:c>
      <x:c r="D4" s="8" t="str">
        <x:v>Sprint</x:v>
      </x:c>
      <x:c r="E4" s="8" t="str">
        <x:v>Scope chính</x:v>
      </x:c>
      <x:c r="F4" s="8" t="str">
        <x:v>Task</x:v>
      </x:c>
      <x:c r="G4" s="8" t="str">
        <x:v>Done</x:v>
      </x:c>
      <x:c r="H4" s="8" t="str">
        <x:v>In Progress</x:v>
      </x:c>
      <x:c r="I4" s="8" t="str">
        <x:v>Blocked</x:v>
      </x:c>
      <x:c r="J4" s="8" t="str">
        <x:v>Progress</x:v>
      </x:c>
    </x:row>
    <x:row r="5">
      <x:c r="A5" s="22" t="str">
        <x:v>Done</x:v>
      </x:c>
      <x:c r="B5" s="24" t="n">
        <x:f>COUNTIF('Task Plan'!I5:I65,"Done")</x:f>
        <x:v>0</x:v>
      </x:c>
      <x:c r="D5" t="str">
        <x:v>Sprint 1</x:v>
      </x:c>
      <x:c r="E5" t="str">
        <x:v>Khung website / deploy lần 1</x:v>
      </x:c>
      <x:c r="F5" t="n">
        <x:f>COUNTIF('Task Plan'!B5:B65,D5)</x:f>
        <x:v>10</x:v>
      </x:c>
      <x:c r="G5" t="n">
        <x:f>COUNTIFS('Task Plan'!B5:B65,D5,'Task Plan'!I5:I65,"Done")</x:f>
        <x:v>0</x:v>
      </x:c>
      <x:c r="H5" t="n">
        <x:f>COUNTIFS('Task Plan'!B5:B65,D5,'Task Plan'!I5:I65,"In Progress")</x:f>
        <x:v>0</x:v>
      </x:c>
      <x:c r="I5" t="n">
        <x:f>COUNTIFS('Task Plan'!B5:B65,D5,'Task Plan'!I5:I65,"Blocked")</x:f>
        <x:v>0</x:v>
      </x:c>
      <x:c r="J5" s="18" t="n">
        <x:f>IFERROR(AVERAGEIF('Task Plan'!B5:B65,D5,'Task Plan'!M5:M65),0)</x:f>
        <x:v>0</x:v>
      </x:c>
    </x:row>
    <x:row r="6">
      <x:c r="A6" s="22" t="str">
        <x:v>In Progress</x:v>
      </x:c>
      <x:c r="B6" s="24" t="n">
        <x:f>COUNTIF('Task Plan'!I5:I65,"In Progress")</x:f>
        <x:v>0</x:v>
      </x:c>
      <x:c r="D6" t="str">
        <x:v>Sprint 2</x:v>
      </x:c>
      <x:c r="E6" t="str">
        <x:v>Lesson template + Lesson 01</x:v>
      </x:c>
      <x:c r="F6" t="n">
        <x:f>COUNTIF('Task Plan'!B5:B65,D6)</x:f>
        <x:v>11</x:v>
      </x:c>
      <x:c r="G6" t="n">
        <x:f>COUNTIFS('Task Plan'!B5:B65,D6,'Task Plan'!I5:I65,"Done")</x:f>
        <x:v>0</x:v>
      </x:c>
      <x:c r="H6" t="n">
        <x:f>COUNTIFS('Task Plan'!B5:B65,D6,'Task Plan'!I5:I65,"In Progress")</x:f>
        <x:v>0</x:v>
      </x:c>
      <x:c r="I6" t="n">
        <x:f>COUNTIFS('Task Plan'!B5:B65,D6,'Task Plan'!I5:I65,"Blocked")</x:f>
        <x:v>0</x:v>
      </x:c>
      <x:c r="J6" s="18" t="n">
        <x:f>IFERROR(AVERAGEIF('Task Plan'!B5:B65,D6,'Task Plan'!M5:M65),0)</x:f>
        <x:v>0</x:v>
      </x:c>
    </x:row>
    <x:row r="7">
      <x:c r="A7" s="22" t="str">
        <x:v>Blocked</x:v>
      </x:c>
      <x:c r="B7" s="24" t="n">
        <x:f>COUNTIF('Task Plan'!I5:I65,"Blocked")</x:f>
        <x:v>0</x:v>
      </x:c>
      <x:c r="D7" t="str">
        <x:v>Sprint 3</x:v>
      </x:c>
      <x:c r="E7" t="str">
        <x:v>Progress tracking LocalStorage</x:v>
      </x:c>
      <x:c r="F7" t="n">
        <x:f>COUNTIF('Task Plan'!B5:B65,D7)</x:f>
        <x:v>10</x:v>
      </x:c>
      <x:c r="G7" t="n">
        <x:f>COUNTIFS('Task Plan'!B5:B65,D7,'Task Plan'!I5:I65,"Done")</x:f>
        <x:v>0</x:v>
      </x:c>
      <x:c r="H7" t="n">
        <x:f>COUNTIFS('Task Plan'!B5:B65,D7,'Task Plan'!I5:I65,"In Progress")</x:f>
        <x:v>0</x:v>
      </x:c>
      <x:c r="I7" t="n">
        <x:f>COUNTIFS('Task Plan'!B5:B65,D7,'Task Plan'!I5:I65,"Blocked")</x:f>
        <x:v>0</x:v>
      </x:c>
      <x:c r="J7" s="18" t="n">
        <x:f>IFERROR(AVERAGEIF('Task Plan'!B5:B65,D7,'Task Plan'!M5:M65),0)</x:f>
        <x:v>0</x:v>
      </x:c>
    </x:row>
    <x:row r="8">
      <x:c r="A8" s="22" t="str">
        <x:v>Tiến độ TB</x:v>
      </x:c>
      <x:c r="B8" s="25" t="n">
        <x:f>AVERAGE('Task Plan'!M5:M65)</x:f>
        <x:v>0</x:v>
      </x:c>
      <x:c r="D8" t="str">
        <x:v>Sprint 4</x:v>
      </x:c>
      <x:c r="E8" t="str">
        <x:v>Quiz / Practice tương tác</x:v>
      </x:c>
      <x:c r="F8" t="n">
        <x:f>COUNTIF('Task Plan'!B5:B65,D8)</x:f>
        <x:v>10</x:v>
      </x:c>
      <x:c r="G8" t="n">
        <x:f>COUNTIFS('Task Plan'!B5:B65,D8,'Task Plan'!I5:I65,"Done")</x:f>
        <x:v>0</x:v>
      </x:c>
      <x:c r="H8" t="n">
        <x:f>COUNTIFS('Task Plan'!B5:B65,D8,'Task Plan'!I5:I65,"In Progress")</x:f>
        <x:v>0</x:v>
      </x:c>
      <x:c r="I8" t="n">
        <x:f>COUNTIFS('Task Plan'!B5:B65,D8,'Task Plan'!I5:I65,"Blocked")</x:f>
        <x:v>0</x:v>
      </x:c>
      <x:c r="J8" s="18" t="n">
        <x:f>IFERROR(AVERAGEIF('Task Plan'!B5:B65,D8,'Task Plan'!M5:M65),0)</x:f>
        <x:v>0</x:v>
      </x:c>
    </x:row>
    <x:row r="9">
      <x:c r="A9" s="22" t="str">
        <x:v>Tổng Est. Days</x:v>
      </x:c>
      <x:c r="B9" s="26" t="n">
        <x:f>SUM('Task Plan'!L5:L65)</x:f>
        <x:v>47.75</x:v>
      </x:c>
      <x:c r="D9" t="str">
        <x:v>Sprint 5</x:v>
      </x:c>
      <x:c r="E9" t="str">
        <x:v>Vocabulary / Flashcard / Phrase Bank</x:v>
      </x:c>
      <x:c r="F9" t="n">
        <x:f>COUNTIF('Task Plan'!B5:B65,D9)</x:f>
        <x:v>10</x:v>
      </x:c>
      <x:c r="G9" t="n">
        <x:f>COUNTIFS('Task Plan'!B5:B65,D9,'Task Plan'!I5:I65,"Done")</x:f>
        <x:v>0</x:v>
      </x:c>
      <x:c r="H9" t="n">
        <x:f>COUNTIFS('Task Plan'!B5:B65,D9,'Task Plan'!I5:I65,"In Progress")</x:f>
        <x:v>0</x:v>
      </x:c>
      <x:c r="I9" t="n">
        <x:f>COUNTIFS('Task Plan'!B5:B65,D9,'Task Plan'!I5:I65,"Blocked")</x:f>
        <x:v>0</x:v>
      </x:c>
      <x:c r="J9" s="18" t="n">
        <x:f>IFERROR(AVERAGEIF('Task Plan'!B5:B65,D9,'Task Plan'!M5:M65),0)</x:f>
        <x:v>0</x:v>
      </x:c>
    </x:row>
    <x:row r="10">
      <x:c r="D10" t="str">
        <x:v>Sprint 6</x:v>
      </x:c>
      <x:c r="E10" t="str">
        <x:v>Polish MVP / deploy demo</x:v>
      </x:c>
      <x:c r="F10" t="n">
        <x:f>COUNTIF('Task Plan'!B5:B65,D10)</x:f>
        <x:v>10</x:v>
      </x:c>
      <x:c r="G10" t="n">
        <x:f>COUNTIFS('Task Plan'!B5:B65,D10,'Task Plan'!I5:I65,"Done")</x:f>
        <x:v>0</x:v>
      </x:c>
      <x:c r="H10" t="n">
        <x:f>COUNTIFS('Task Plan'!B5:B65,D10,'Task Plan'!I5:I65,"In Progress")</x:f>
        <x:v>0</x:v>
      </x:c>
      <x:c r="I10" t="n">
        <x:f>COUNTIFS('Task Plan'!B5:B65,D10,'Task Plan'!I5:I65,"Blocked")</x:f>
        <x:v>0</x:v>
      </x:c>
      <x:c r="J10" s="18" t="n">
        <x:f>IFERROR(AVERAGEIF('Task Plan'!B5:B65,D10,'Task Plan'!M5:M65),0)</x:f>
        <x:v>0</x:v>
      </x:c>
    </x:row>
    <x:row r="12">
      <x:c r="A12" s="8" t="str">
        <x:v>Status</x:v>
      </x:c>
      <x:c r="B12" s="8" t="str">
        <x:v>Count</x:v>
      </x:c>
      <x:c r="D12" s="8" t="str">
        <x:v>Priority</x:v>
      </x:c>
      <x:c r="E12" s="8" t="str">
        <x:v>Count</x:v>
      </x:c>
    </x:row>
    <x:row r="13">
      <x:c r="A13" t="str">
        <x:v>Not Started</x:v>
      </x:c>
      <x:c r="B13" t="n">
        <x:f>COUNTIF('Task Plan'!I5:I65,A13)</x:f>
        <x:v>61</x:v>
      </x:c>
      <x:c r="D13" t="str">
        <x:v>High</x:v>
      </x:c>
      <x:c r="E13" t="n">
        <x:f>COUNTIF('Task Plan'!G5:G65,D13)</x:f>
        <x:v>40</x:v>
      </x:c>
    </x:row>
    <x:row r="14">
      <x:c r="A14" t="str">
        <x:v>In Progress</x:v>
      </x:c>
      <x:c r="B14" t="n">
        <x:f>COUNTIF('Task Plan'!I5:I65,A14)</x:f>
        <x:v>0</x:v>
      </x:c>
      <x:c r="D14" t="str">
        <x:v>Medium</x:v>
      </x:c>
      <x:c r="E14" t="n">
        <x:f>COUNTIF('Task Plan'!G5:G65,D14)</x:f>
        <x:v>18</x:v>
      </x:c>
    </x:row>
    <x:row r="15">
      <x:c r="A15" t="str">
        <x:v>Review</x:v>
      </x:c>
      <x:c r="B15" t="n">
        <x:f>COUNTIF('Task Plan'!I5:I65,A15)</x:f>
        <x:v>0</x:v>
      </x:c>
      <x:c r="D15" t="str">
        <x:v>Low</x:v>
      </x:c>
      <x:c r="E15" t="n">
        <x:f>COUNTIF('Task Plan'!G5:G65,D15)</x:f>
        <x:v>3</x:v>
      </x:c>
    </x:row>
    <x:row r="16">
      <x:c r="A16" t="str">
        <x:v>Done</x:v>
      </x:c>
      <x:c r="B16" t="n">
        <x:f>COUNTIF('Task Plan'!I5:I65,A16)</x:f>
        <x:v>0</x:v>
      </x:c>
    </x:row>
    <x:row r="17">
      <x:c r="A17" t="str">
        <x:v>Blocked</x:v>
      </x:c>
      <x:c r="B17" t="n">
        <x:f>COUNTIF('Task Plan'!I5:I65,A17)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32" hidden="0" customWidth="1"/>
    <x:col min="5" max="5" width="44" hidden="0" customWidth="1"/>
    <x:col min="6" max="6" width="38" hidden="0" customWidth="1"/>
    <x:col min="7" max="7" width="14" hidden="0" customWidth="1"/>
    <x:col min="8" max="8" width="10" hidden="0" customWidth="1"/>
    <x:col min="9" max="9" width="34" hidden="0" customWidth="1"/>
  </x:cols>
  <x:sheetData>
    <x:row r="1">
      <x:c r="A1" s="3" t="str">
        <x:v>Senpai — Content Backlog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3" ht="32" customHeight="1">
      <x:c r="A3" s="8" t="str">
        <x:v>Stage</x:v>
      </x:c>
      <x:c r="B3" s="8" t="str">
        <x:v>Module</x:v>
      </x:c>
      <x:c r="C3" s="8" t="str">
        <x:v>Lesson ID</x:v>
      </x:c>
      <x:c r="D3" s="8" t="str">
        <x:v>Lesson Title</x:v>
      </x:c>
      <x:c r="E3" s="8" t="str">
        <x:v>Scenario</x:v>
      </x:c>
      <x:c r="F3" s="8" t="str">
        <x:v>Core Pattern</x:v>
      </x:c>
      <x:c r="G3" s="8" t="str">
        <x:v>Asset Status</x:v>
      </x:c>
      <x:c r="H3" s="8" t="str">
        <x:v>Priority</x:v>
      </x:c>
      <x:c r="I3" s="8" t="str">
        <x:v>Notes</x:v>
      </x:c>
    </x:row>
    <x:row r="4" ht="48" customHeight="1">
      <x:c r="A4" s="10" t="str">
        <x:v>Stage 2</x:v>
      </x:c>
      <x:c r="B4" s="10" t="str">
        <x:v>Email</x:v>
      </x:c>
      <x:c r="C4" s="10" t="str">
        <x:v>L2-EMAIL-01</x:v>
      </x:c>
      <x:c r="D4" s="10" t="str">
        <x:v>Xin chào khi join dự án mới</x:v>
      </x:c>
      <x:c r="E4" s="10" t="str">
        <x:v>Dev/BA/PM mới vào dự án Nhật cần gửi lời chào ngắn gọn.</x:v>
      </x:c>
      <x:c r="F4" s="10" t="str">
        <x:v>お世話になります / よろしくお願いいたします</x:v>
      </x:c>
      <x:c r="G4" s="10" t="str">
        <x:v>MVP</x:v>
      </x:c>
      <x:c r="H4" s="10" t="str">
        <x:v>High</x:v>
      </x:c>
      <x:c r="I4" s="10" t="str">
        <x:v>Bài mẫu đầu tiên để chuẩn hóa template.</x:v>
      </x:c>
    </x:row>
    <x:row r="5" ht="48" customHeight="1">
      <x:c r="A5" s="10" t="str">
        <x:v>Stage 2</x:v>
      </x:c>
      <x:c r="B5" s="10" t="str">
        <x:v>Meeting</x:v>
      </x:c>
      <x:c r="C5" s="10" t="str">
        <x:v>L2-MEET-01</x:v>
      </x:c>
      <x:c r="D5" s="10" t="str">
        <x:v>Khi không hiểu ý khách trong meeting</x:v>
      </x:c>
      <x:c r="E5" s="10" t="str">
        <x:v>Nghe khách giải thích spec nhưng chưa hiểu rõ điểm cần xác nhận.</x:v>
      </x:c>
      <x:c r="F5" s="10" t="str">
        <x:v>恐れ入りますが、もう一度ご説明いただけますでしょうか</x:v>
      </x:c>
      <x:c r="G5" s="10" t="str">
        <x:v>MVP</x:v>
      </x:c>
      <x:c r="H5" s="10" t="str">
        <x:v>High</x:v>
      </x:c>
      <x:c r="I5" s="10" t="str">
        <x:v>Nên có hội thoại ngắn + practice chọn cách hỏi lại.</x:v>
      </x:c>
    </x:row>
    <x:row r="6" ht="48" customHeight="1">
      <x:c r="A6" s="10" t="str">
        <x:v>Stage 2</x:v>
      </x:c>
      <x:c r="B6" s="10" t="str">
        <x:v>Reporting</x:v>
      </x:c>
      <x:c r="C6" s="10" t="str">
        <x:v>L2-REPORT-01</x:v>
      </x:c>
      <x:c r="D6" s="10" t="str">
        <x:v>Báo cáo tiến độ và báo delay</x:v>
      </x:c>
      <x:c r="E6" s="10" t="str">
        <x:v>Báo tiến độ tuần, nêu việc xong/chưa xong và lý do chậm.</x:v>
      </x:c>
      <x:c r="F6" s="10" t="str">
        <x:v>現在、〇〇まで完了しております / 少し遅れております</x:v>
      </x:c>
      <x:c r="G6" s="10" t="str">
        <x:v>MVP</x:v>
      </x:c>
      <x:c r="H6" s="10" t="str">
        <x:v>High</x:v>
      </x:c>
      <x:c r="I6" s="10" t="str">
        <x:v>Rất sát thực tế dự án offshore.</x:v>
      </x:c>
    </x:row>
    <x:row r="7" ht="48" customHeight="1">
      <x:c r="A7" s="10" t="str">
        <x:v>Stage 2</x:v>
      </x:c>
      <x:c r="B7" s="10" t="str">
        <x:v>Email</x:v>
      </x:c>
      <x:c r="C7" s="10" t="str">
        <x:v>L2-EMAIL-02</x:v>
      </x:c>
      <x:c r="D7" s="10" t="str">
        <x:v>Xác nhận yêu cầu sau meeting</x:v>
      </x:c>
      <x:c r="E7" s="10" t="str">
        <x:v>Tóm tắt lại nội dung đã hiểu và hỏi khách confirm.</x:v>
      </x:c>
      <x:c r="F7" s="10" t="str">
        <x:v>認識に相違がないかご確認お願いいたします</x:v>
      </x:c>
      <x:c r="G7" s="10" t="str">
        <x:v>Next</x:v>
      </x:c>
      <x:c r="H7" s="10" t="str">
        <x:v>Medium</x:v>
      </x:c>
      <x:c r="I7" s="10" t="str">
        <x:v>Dùng cho PM/BA/Comtor.</x:v>
      </x:c>
    </x:row>
    <x:row r="8" ht="48" customHeight="1">
      <x:c r="A8" s="10" t="str">
        <x:v>Stage 2</x:v>
      </x:c>
      <x:c r="B8" s="10" t="str">
        <x:v>Trouble</x:v>
      </x:c>
      <x:c r="C8" s="10" t="str">
        <x:v>L2-TROUBLE-01</x:v>
      </x:c>
      <x:c r="D8" s="10" t="str">
        <x:v>Báo lỗi phát sinh trên production</x:v>
      </x:c>
      <x:c r="E8" s="10" t="str">
        <x:v>Báo lỗi, ảnh hưởng, nguyên nhân tạm thời, hướng xử lý.</x:v>
      </x:c>
      <x:c r="F8" s="10" t="str">
        <x:v>原因を調査中です / 対応完了後、改めてご報告いたします</x:v>
      </x:c>
      <x:c r="G8" s="10" t="str">
        <x:v>Next</x:v>
      </x:c>
      <x:c r="H8" s="10" t="str">
        <x:v>High</x:v>
      </x:c>
      <x:c r="I8" s="10" t="str">
        <x:v>Có thể đưa vào Stage 3 sau.</x:v>
      </x:c>
    </x:row>
    <x:row r="9" ht="48" customHeight="1">
      <x:c r="A9" s="10" t="str">
        <x:v>Stage 2</x:v>
      </x:c>
      <x:c r="B9" s="10" t="str">
        <x:v>Meeting</x:v>
      </x:c>
      <x:c r="C9" s="10" t="str">
        <x:v>L2-MEET-02</x:v>
      </x:c>
      <x:c r="D9" s="10" t="str">
        <x:v>Cách xin thêm thời gian suy nghĩ</x:v>
      </x:c>
      <x:c r="E9" s="10" t="str">
        <x:v>Chưa thể trả lời ngay trong meeting, cần xin kiểm tra rồi phản hồi.</x:v>
      </x:c>
      <x:c r="F9" s="10" t="str">
        <x:v>確認してから回答いたします</x:v>
      </x:c>
      <x:c r="G9" s="10" t="str">
        <x:v>Next</x:v>
      </x:c>
      <x:c r="H9" s="10" t="str">
        <x:v>Medium</x:v>
      </x:c>
      <x:c r="I9" s="10" t="str">
        <x:v>Tình huống phổ biến với Dev.</x:v>
      </x:c>
    </x:row>
    <x:row r="10" ht="48" customHeight="1">
      <x:c r="A10" s="10" t="str">
        <x:v>Stage 3</x:v>
      </x:c>
      <x:c r="B10" s="10" t="str">
        <x:v>Trouble</x:v>
      </x:c>
      <x:c r="C10" s="10" t="str">
        <x:v>L3-TROUBLE-01</x:v>
      </x:c>
      <x:c r="D10" s="10" t="str">
        <x:v>Xin lỗi khi deploy gây lỗi</x:v>
      </x:c>
      <x:c r="E10" s="10" t="str">
        <x:v>Giải thích sự cố, xin lỗi, đưa hướng khắc phục và phòng ngừa.</x:v>
      </x:c>
      <x:c r="F10" s="10" t="str">
        <x:v>ご迷惑をおかけして申し訳ございません</x:v>
      </x:c>
      <x:c r="G10" s="10" t="str">
        <x:v>Future</x:v>
      </x:c>
      <x:c r="H10" s="10" t="str">
        <x:v>High</x:v>
      </x:c>
      <x:c r="I10" s="10" t="str">
        <x:v>Nên phát triển khi qua stage nâng cao.</x:v>
      </x:c>
    </x:row>
    <x:row r="11" ht="48" customHeight="1">
      <x:c r="A11" s="10" t="str">
        <x:v>Stage 3</x:v>
      </x:c>
      <x:c r="B11" s="10" t="str">
        <x:v>Negotiation</x:v>
      </x:c>
      <x:c r="C11" s="10" t="str">
        <x:v>L3-NEG-01</x:v>
      </x:c>
      <x:c r="D11" s="10" t="str">
        <x:v>Đàm phán deadline mềm</x:v>
      </x:c>
      <x:c r="E11" s="10" t="str">
        <x:v>Khách yêu cầu gấp, cần giải thích rủi ro và đề xuất phương án.</x:v>
      </x:c>
      <x:c r="F11" s="10" t="str">
        <x:v>品質を担保するため、〇日ほどいただけますでしょうか</x:v>
      </x:c>
      <x:c r="G11" s="10" t="str">
        <x:v>Future</x:v>
      </x:c>
      <x:c r="H11" s="10" t="str">
        <x:v>Medium</x:v>
      </x:c>
      <x:c r="I11" s="10" t="str">
        <x:v>Quan trọng cho PM/BRSE.</x:v>
      </x:c>
    </x:row>
  </x:sheetData>
  <x:dataValidations count="2">
    <x:dataValidation type="list" allowBlank="0" showDropDown="0" sqref="G4:G11">
      <x:formula1>"MVP,Next,Future"</x:formula1>
    </x:dataValidation>
    <x:dataValidation type="list" allowBlank="0" showDropDown="0" sqref="H4:H11">
      <x:formula1>"High,Medium,Low"</x:formula1>
    </x:dataValidation>
  </x:dataValidations>
  <x:pageMargins left="0.7" right="0.7" top="0.75" bottom="0.75" header="0.3" footer="0.3"/>
</x:worksheet>
</file>